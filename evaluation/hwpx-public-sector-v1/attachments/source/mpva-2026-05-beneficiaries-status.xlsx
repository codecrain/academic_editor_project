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itpc4\e드라이브\init\0.월말통계\2026\5월\기본,참전,고엽\보훈나라게시\"/>
    </mc:Choice>
  </mc:AlternateContent>
  <bookViews>
    <workbookView xWindow="0" yWindow="0" windowWidth="23040" windowHeight="9630" tabRatio="899"/>
  </bookViews>
  <sheets>
    <sheet name="기본현황(총괄)" sheetId="49" r:id="rId1"/>
    <sheet name="기본현황(전월대비변동)" sheetId="38" r:id="rId2"/>
    <sheet name="기본현황(경합형태별현황)" sheetId="45" r:id="rId3"/>
    <sheet name="기본현황(성별현황)" sheetId="46" r:id="rId4"/>
    <sheet name="기본현황(연령별현황)" sheetId="47" r:id="rId5"/>
    <sheet name="실인원수(성별연령별)" sheetId="48" r:id="rId6"/>
    <sheet name="서울특별시" sheetId="8" r:id="rId7"/>
    <sheet name="부산광역시" sheetId="1" r:id="rId8"/>
    <sheet name="대구광역시" sheetId="9" r:id="rId9"/>
    <sheet name="인천광역시" sheetId="10" r:id="rId10"/>
    <sheet name="광주광역시" sheetId="11" r:id="rId11"/>
    <sheet name="대전광역시" sheetId="12" r:id="rId12"/>
    <sheet name="울산광역시" sheetId="13" r:id="rId13"/>
    <sheet name="세종특별자치시" sheetId="14" r:id="rId14"/>
    <sheet name="경기도" sheetId="15" r:id="rId15"/>
    <sheet name="강원도" sheetId="16" r:id="rId16"/>
    <sheet name="충청북도" sheetId="17" r:id="rId17"/>
    <sheet name="충청남도" sheetId="18" r:id="rId18"/>
    <sheet name="전라북도" sheetId="19" r:id="rId19"/>
    <sheet name="전라남도" sheetId="20" r:id="rId20"/>
    <sheet name="경상북도" sheetId="21" r:id="rId21"/>
    <sheet name="경상남도" sheetId="22" r:id="rId22"/>
    <sheet name="제주특별자치도" sheetId="23" r:id="rId23"/>
    <sheet name="주소불명" sheetId="25" r:id="rId24"/>
    <sheet name="해외거주" sheetId="24" r:id="rId25"/>
    <sheet name="해당없음" sheetId="50" r:id="rId26"/>
  </sheets>
  <definedNames>
    <definedName name="_">#N/A</definedName>
    <definedName name="__">#N/A</definedName>
    <definedName name="___">#N/A</definedName>
    <definedName name="_______">#N/A</definedName>
    <definedName name="___________">#N/A</definedName>
    <definedName name="_1_">#N/A</definedName>
  </definedNames>
  <calcPr calcId="162913"/>
</workbook>
</file>

<file path=xl/calcChain.xml><?xml version="1.0" encoding="utf-8"?>
<calcChain xmlns="http://schemas.openxmlformats.org/spreadsheetml/2006/main">
  <c r="C42" i="45" l="1"/>
  <c r="D42" i="45"/>
  <c r="E42" i="45"/>
  <c r="F42" i="45"/>
  <c r="D5" i="49" l="1"/>
  <c r="E10" i="48" l="1"/>
  <c r="D10" i="48"/>
  <c r="C11" i="48"/>
  <c r="E5" i="49" l="1"/>
  <c r="L20" i="38" l="1"/>
  <c r="K20" i="38"/>
  <c r="J20" i="38"/>
  <c r="D5" i="11" l="1"/>
  <c r="L6" i="38" l="1"/>
  <c r="K6" i="38"/>
  <c r="J6" i="38"/>
  <c r="N10" i="47" l="1"/>
  <c r="D10" i="47" l="1"/>
  <c r="E10" i="47"/>
  <c r="F10" i="47"/>
  <c r="G10" i="47"/>
  <c r="H10" i="47"/>
  <c r="I10" i="47"/>
  <c r="J10" i="47"/>
  <c r="K10" i="47"/>
  <c r="L10" i="47"/>
  <c r="M10" i="47"/>
  <c r="O10" i="47"/>
  <c r="P10" i="47"/>
  <c r="Q10" i="47"/>
  <c r="R10" i="47"/>
  <c r="S10" i="47"/>
  <c r="T10" i="47"/>
  <c r="U10" i="47"/>
  <c r="V10" i="47"/>
  <c r="W10" i="47"/>
  <c r="X10" i="47"/>
  <c r="Y10" i="47"/>
  <c r="Z10" i="47"/>
  <c r="AA10" i="47"/>
  <c r="AB10" i="47"/>
  <c r="AC10" i="47"/>
  <c r="AD10" i="47"/>
  <c r="AE10" i="47"/>
  <c r="AF10" i="47"/>
  <c r="AG10" i="47"/>
  <c r="AH10" i="47"/>
  <c r="AI10" i="47"/>
  <c r="AJ10" i="47"/>
  <c r="AK10" i="47"/>
  <c r="AL10" i="47"/>
  <c r="AM10" i="47"/>
  <c r="AN10" i="47"/>
  <c r="AO10" i="47"/>
  <c r="AP10" i="47"/>
  <c r="AQ10" i="47"/>
  <c r="C13" i="48" l="1"/>
  <c r="C14" i="48"/>
  <c r="C15" i="48"/>
  <c r="C16" i="48"/>
  <c r="C17" i="48"/>
  <c r="C18" i="48"/>
  <c r="C19" i="48"/>
  <c r="C20" i="48"/>
  <c r="C21" i="48"/>
  <c r="C22" i="48"/>
  <c r="C23" i="48"/>
  <c r="C24" i="48"/>
  <c r="C25" i="48"/>
  <c r="C26" i="48"/>
  <c r="C27" i="48"/>
  <c r="C28" i="48"/>
  <c r="C29" i="48"/>
  <c r="C30" i="48"/>
  <c r="C31" i="48"/>
  <c r="C32" i="48"/>
  <c r="C33" i="48"/>
  <c r="C34" i="48"/>
  <c r="C35" i="48"/>
  <c r="C36" i="48"/>
  <c r="C37" i="48"/>
  <c r="C38" i="48"/>
  <c r="C39" i="48"/>
  <c r="C40" i="48"/>
  <c r="C41" i="48"/>
  <c r="C42" i="48"/>
  <c r="C43" i="48"/>
  <c r="C44" i="48"/>
  <c r="C45" i="48"/>
  <c r="C46" i="48"/>
  <c r="C47" i="48"/>
  <c r="C48" i="48"/>
  <c r="C12" i="48"/>
  <c r="C10" i="48" l="1"/>
  <c r="D5" i="19"/>
  <c r="F5" i="49" l="1"/>
  <c r="D5" i="8" l="1"/>
  <c r="E5" i="8"/>
  <c r="F5" i="8"/>
  <c r="C12" i="46" l="1"/>
  <c r="G7" i="45"/>
  <c r="C11" i="47" l="1"/>
  <c r="G8" i="45" l="1"/>
  <c r="G9" i="45"/>
  <c r="G10" i="45"/>
  <c r="G11" i="45"/>
  <c r="G12" i="45"/>
  <c r="G13" i="45"/>
  <c r="G14" i="45"/>
  <c r="G15" i="45"/>
  <c r="G16" i="45"/>
  <c r="G17" i="45"/>
  <c r="G18" i="45"/>
  <c r="G19" i="45"/>
  <c r="G20" i="45"/>
  <c r="G21" i="45"/>
  <c r="G22" i="45"/>
  <c r="G23" i="45"/>
  <c r="G24" i="45"/>
  <c r="G25" i="45"/>
  <c r="G26" i="45"/>
  <c r="G27" i="45"/>
  <c r="G28" i="45"/>
  <c r="G29" i="45"/>
  <c r="G30" i="45"/>
  <c r="G31" i="45"/>
  <c r="G32" i="45"/>
  <c r="G33" i="45"/>
  <c r="G34" i="45"/>
  <c r="G35" i="45"/>
  <c r="G36" i="45"/>
  <c r="G37" i="45"/>
  <c r="G38" i="45"/>
  <c r="G39" i="45"/>
  <c r="G40" i="45"/>
  <c r="G41" i="45"/>
  <c r="C12" i="47" l="1"/>
  <c r="C13" i="47"/>
  <c r="C14" i="47"/>
  <c r="C15" i="47"/>
  <c r="C16" i="47"/>
  <c r="C17" i="47"/>
  <c r="C18" i="47"/>
  <c r="C19" i="47"/>
  <c r="C20" i="47"/>
  <c r="C21" i="47"/>
  <c r="C22" i="47"/>
  <c r="C23" i="47"/>
  <c r="C24" i="47"/>
  <c r="C25" i="47"/>
  <c r="C26" i="47"/>
  <c r="C27" i="47"/>
  <c r="C28" i="47"/>
  <c r="C29" i="47"/>
  <c r="C30" i="47"/>
  <c r="C31" i="47"/>
  <c r="C32" i="47"/>
  <c r="C33" i="47"/>
  <c r="C34" i="47"/>
  <c r="C35" i="47"/>
  <c r="C36" i="47"/>
  <c r="C37" i="47"/>
  <c r="C38" i="47"/>
  <c r="C39" i="47"/>
  <c r="C40" i="47"/>
  <c r="C41" i="47"/>
  <c r="C42" i="47"/>
  <c r="C43" i="47"/>
  <c r="C44" i="47"/>
  <c r="C45" i="47"/>
  <c r="C46" i="47"/>
  <c r="C47" i="47"/>
  <c r="C48" i="47"/>
  <c r="C10" i="47" l="1"/>
  <c r="E5" i="16"/>
  <c r="F5" i="16"/>
  <c r="D5" i="16"/>
  <c r="E11" i="46" l="1"/>
  <c r="F11" i="46"/>
  <c r="G11" i="46"/>
  <c r="D11" i="46"/>
  <c r="C13" i="46"/>
  <c r="C14" i="46"/>
  <c r="C15" i="46"/>
  <c r="C16" i="46"/>
  <c r="C17" i="46"/>
  <c r="C18" i="46"/>
  <c r="C19" i="46"/>
  <c r="C20" i="46"/>
  <c r="C21" i="46"/>
  <c r="C22" i="46"/>
  <c r="C23" i="46"/>
  <c r="C24" i="46"/>
  <c r="C25" i="46"/>
  <c r="C26" i="46"/>
  <c r="C27" i="46"/>
  <c r="C28" i="46"/>
  <c r="C29" i="46"/>
  <c r="C30" i="46"/>
  <c r="C31" i="46"/>
  <c r="C32" i="46"/>
  <c r="C33" i="46"/>
  <c r="C34" i="46"/>
  <c r="C35" i="46"/>
  <c r="C36" i="46"/>
  <c r="C37" i="46"/>
  <c r="C38" i="46"/>
  <c r="C39" i="46"/>
  <c r="C40" i="46"/>
  <c r="C41" i="46"/>
  <c r="C42" i="46"/>
  <c r="C43" i="46"/>
  <c r="C44" i="46"/>
  <c r="C45" i="46"/>
  <c r="C46" i="46"/>
  <c r="C47" i="46"/>
  <c r="C48" i="46"/>
  <c r="C49" i="46"/>
  <c r="C50" i="46"/>
  <c r="C51" i="46"/>
  <c r="E5" i="24"/>
  <c r="F5" i="24"/>
  <c r="D5" i="24"/>
  <c r="E5" i="50"/>
  <c r="F5" i="50"/>
  <c r="D5" i="50"/>
  <c r="E5" i="25"/>
  <c r="F5" i="25"/>
  <c r="D5" i="25"/>
  <c r="E5" i="23"/>
  <c r="F5" i="23"/>
  <c r="D5" i="23"/>
  <c r="E5" i="22"/>
  <c r="F5" i="22"/>
  <c r="D5" i="22"/>
  <c r="E5" i="21"/>
  <c r="F5" i="21"/>
  <c r="D5" i="21"/>
  <c r="E5" i="20"/>
  <c r="F5" i="20"/>
  <c r="D5" i="20"/>
  <c r="E5" i="19"/>
  <c r="F5" i="19"/>
  <c r="E5" i="18"/>
  <c r="F5" i="18"/>
  <c r="D5" i="18"/>
  <c r="E5" i="17"/>
  <c r="F5" i="17"/>
  <c r="D5" i="17"/>
  <c r="E5" i="15"/>
  <c r="F5" i="15"/>
  <c r="D5" i="15"/>
  <c r="E5" i="14"/>
  <c r="F5" i="14"/>
  <c r="D5" i="14"/>
  <c r="E5" i="13"/>
  <c r="F5" i="13"/>
  <c r="D5" i="13"/>
  <c r="E5" i="12"/>
  <c r="F5" i="12"/>
  <c r="D5" i="12"/>
  <c r="E5" i="11"/>
  <c r="F5" i="11"/>
  <c r="E5" i="9"/>
  <c r="F5" i="9"/>
  <c r="E5" i="10"/>
  <c r="F5" i="10"/>
  <c r="D5" i="10"/>
  <c r="D5" i="9"/>
  <c r="E5" i="1"/>
  <c r="F5" i="1"/>
  <c r="D5" i="1"/>
  <c r="C11" i="46" l="1"/>
  <c r="L5" i="38"/>
  <c r="L57" i="38"/>
  <c r="K57" i="38"/>
  <c r="J57" i="38"/>
  <c r="L56" i="38"/>
  <c r="K56" i="38"/>
  <c r="J56" i="38"/>
  <c r="L55" i="38"/>
  <c r="K55" i="38"/>
  <c r="J55" i="38"/>
  <c r="L54" i="38"/>
  <c r="K54" i="38"/>
  <c r="J54" i="38"/>
  <c r="L53" i="38"/>
  <c r="K53" i="38"/>
  <c r="J53" i="38"/>
  <c r="L52" i="38"/>
  <c r="K52" i="38"/>
  <c r="J52" i="38"/>
  <c r="L51" i="38"/>
  <c r="K51" i="38"/>
  <c r="J51" i="38"/>
  <c r="L50" i="38"/>
  <c r="K50" i="38"/>
  <c r="J50" i="38"/>
  <c r="L49" i="38"/>
  <c r="K49" i="38"/>
  <c r="J49" i="38"/>
  <c r="L48" i="38"/>
  <c r="K48" i="38"/>
  <c r="J48" i="38"/>
  <c r="L47" i="38"/>
  <c r="K47" i="38"/>
  <c r="J47" i="38"/>
  <c r="L46" i="38"/>
  <c r="K46" i="38"/>
  <c r="J46" i="38"/>
  <c r="L45" i="38"/>
  <c r="K45" i="38"/>
  <c r="J45" i="38"/>
  <c r="L44" i="38"/>
  <c r="K44" i="38"/>
  <c r="J44" i="38"/>
  <c r="L43" i="38"/>
  <c r="K43" i="38"/>
  <c r="J43" i="38"/>
  <c r="L42" i="38"/>
  <c r="K42" i="38"/>
  <c r="J42" i="38"/>
  <c r="L41" i="38"/>
  <c r="K41" i="38"/>
  <c r="J41" i="38"/>
  <c r="L40" i="38"/>
  <c r="K40" i="38"/>
  <c r="J40" i="38"/>
  <c r="L39" i="38"/>
  <c r="K39" i="38"/>
  <c r="J39" i="38"/>
  <c r="L38" i="38"/>
  <c r="K38" i="38"/>
  <c r="J38" i="38"/>
  <c r="L37" i="38"/>
  <c r="K37" i="38"/>
  <c r="J37" i="38"/>
  <c r="L36" i="38"/>
  <c r="K36" i="38"/>
  <c r="J36" i="38"/>
  <c r="L35" i="38"/>
  <c r="K35" i="38"/>
  <c r="J35" i="38"/>
  <c r="L34" i="38"/>
  <c r="K34" i="38"/>
  <c r="J34" i="38"/>
  <c r="L33" i="38"/>
  <c r="K33" i="38"/>
  <c r="J33" i="38"/>
  <c r="L32" i="38"/>
  <c r="K32" i="38"/>
  <c r="J32" i="38"/>
  <c r="L31" i="38"/>
  <c r="K31" i="38"/>
  <c r="J31" i="38"/>
  <c r="L30" i="38"/>
  <c r="K30" i="38"/>
  <c r="J30" i="38"/>
  <c r="L29" i="38"/>
  <c r="K29" i="38"/>
  <c r="J29" i="38"/>
  <c r="L28" i="38"/>
  <c r="K28" i="38"/>
  <c r="J28" i="38"/>
  <c r="L27" i="38"/>
  <c r="K27" i="38"/>
  <c r="J27" i="38"/>
  <c r="L26" i="38"/>
  <c r="K26" i="38"/>
  <c r="J26" i="38"/>
  <c r="L25" i="38"/>
  <c r="K25" i="38"/>
  <c r="J25" i="38"/>
  <c r="L24" i="38"/>
  <c r="K24" i="38"/>
  <c r="J24" i="38"/>
  <c r="L23" i="38"/>
  <c r="K23" i="38"/>
  <c r="J23" i="38"/>
  <c r="L22" i="38"/>
  <c r="K22" i="38"/>
  <c r="J22" i="38"/>
  <c r="L21" i="38"/>
  <c r="K21" i="38"/>
  <c r="J21" i="38"/>
  <c r="L19" i="38"/>
  <c r="K19" i="38"/>
  <c r="J19" i="38"/>
  <c r="L18" i="38"/>
  <c r="K18" i="38"/>
  <c r="J18" i="38"/>
  <c r="L17" i="38"/>
  <c r="K17" i="38"/>
  <c r="J17" i="38"/>
  <c r="L16" i="38"/>
  <c r="K16" i="38"/>
  <c r="J16" i="38"/>
  <c r="L15" i="38"/>
  <c r="K15" i="38"/>
  <c r="J15" i="38"/>
  <c r="L14" i="38"/>
  <c r="K14" i="38"/>
  <c r="J14" i="38"/>
  <c r="L13" i="38"/>
  <c r="K13" i="38"/>
  <c r="J13" i="38"/>
  <c r="L12" i="38"/>
  <c r="K12" i="38"/>
  <c r="J12" i="38"/>
  <c r="L11" i="38"/>
  <c r="K11" i="38"/>
  <c r="J11" i="38"/>
  <c r="L10" i="38"/>
  <c r="K10" i="38"/>
  <c r="J10" i="38"/>
  <c r="L9" i="38"/>
  <c r="K9" i="38"/>
  <c r="J9" i="38"/>
  <c r="K8" i="38"/>
  <c r="L8" i="38"/>
  <c r="J8" i="38"/>
  <c r="L7" i="38"/>
  <c r="K7" i="38"/>
  <c r="J7" i="38"/>
  <c r="K5" i="38"/>
  <c r="J5" i="38"/>
  <c r="H41" i="45"/>
  <c r="I41" i="45" s="1"/>
  <c r="H40" i="45"/>
  <c r="H39" i="45"/>
  <c r="H38" i="45"/>
  <c r="H37" i="45"/>
  <c r="I37" i="45" s="1"/>
  <c r="H36" i="45"/>
  <c r="I36" i="45" s="1"/>
  <c r="H35" i="45"/>
  <c r="H34" i="45"/>
  <c r="I34" i="45" s="1"/>
  <c r="H33" i="45"/>
  <c r="H32" i="45"/>
  <c r="H31" i="45"/>
  <c r="H30" i="45"/>
  <c r="H29" i="45"/>
  <c r="H28" i="45"/>
  <c r="H27" i="45"/>
  <c r="H26" i="45"/>
  <c r="H25" i="45"/>
  <c r="H24" i="45"/>
  <c r="H23" i="45"/>
  <c r="H22" i="45"/>
  <c r="H21" i="45"/>
  <c r="H20" i="45"/>
  <c r="H19" i="45"/>
  <c r="I19" i="45" s="1"/>
  <c r="H18" i="45"/>
  <c r="H17" i="45"/>
  <c r="H16" i="45"/>
  <c r="H15" i="45"/>
  <c r="H14" i="45"/>
  <c r="H13" i="45"/>
  <c r="H12" i="45"/>
  <c r="H11" i="45"/>
  <c r="H10" i="45"/>
  <c r="H9" i="45"/>
  <c r="H8" i="45"/>
  <c r="H7" i="45"/>
  <c r="Z7" i="45"/>
  <c r="AA7" i="45"/>
  <c r="Z8" i="45"/>
  <c r="AA8" i="45"/>
  <c r="Z9" i="45"/>
  <c r="AA9" i="45"/>
  <c r="Z10" i="45"/>
  <c r="AA10" i="45"/>
  <c r="Z11" i="45"/>
  <c r="AA11" i="45"/>
  <c r="Z12" i="45"/>
  <c r="AA12" i="45"/>
  <c r="Z13" i="45"/>
  <c r="AA13" i="45"/>
  <c r="Z14" i="45"/>
  <c r="AA14" i="45"/>
  <c r="Z15" i="45"/>
  <c r="AA15" i="45"/>
  <c r="Z16" i="45"/>
  <c r="AA16" i="45"/>
  <c r="Z17" i="45"/>
  <c r="AA17" i="45"/>
  <c r="Z18" i="45"/>
  <c r="AA18" i="45"/>
  <c r="Z19" i="45"/>
  <c r="AA19" i="45"/>
  <c r="Z20" i="45"/>
  <c r="AA20" i="45"/>
  <c r="Z21" i="45"/>
  <c r="AA21" i="45"/>
  <c r="Z22" i="45"/>
  <c r="AA22" i="45"/>
  <c r="Z23" i="45"/>
  <c r="AA23" i="45"/>
  <c r="Z24" i="45"/>
  <c r="AA24" i="45"/>
  <c r="Z25" i="45"/>
  <c r="AA25" i="45"/>
  <c r="Z26" i="45"/>
  <c r="AA26" i="45"/>
  <c r="Z27" i="45"/>
  <c r="AA27" i="45"/>
  <c r="Z28" i="45"/>
  <c r="AA28" i="45"/>
  <c r="Z29" i="45"/>
  <c r="AA29" i="45"/>
  <c r="Z30" i="45"/>
  <c r="AA30" i="45"/>
  <c r="Z31" i="45"/>
  <c r="AA31" i="45"/>
  <c r="Z32" i="45"/>
  <c r="AA32" i="45"/>
  <c r="Z33" i="45"/>
  <c r="AA33" i="45"/>
  <c r="Z34" i="45"/>
  <c r="AA34" i="45"/>
  <c r="Z35" i="45"/>
  <c r="AA35" i="45"/>
  <c r="Z36" i="45"/>
  <c r="AA36" i="45"/>
  <c r="Z37" i="45"/>
  <c r="AA37" i="45"/>
  <c r="Z38" i="45"/>
  <c r="AA38" i="45"/>
  <c r="Z39" i="45"/>
  <c r="AA39" i="45"/>
  <c r="Z40" i="45"/>
  <c r="AA40" i="45"/>
  <c r="I35" i="45" l="1"/>
  <c r="I32" i="45"/>
  <c r="I10" i="45"/>
  <c r="I18" i="45"/>
  <c r="I17" i="45"/>
  <c r="I15" i="45"/>
  <c r="I14" i="45"/>
  <c r="I30" i="45"/>
  <c r="I31" i="45"/>
  <c r="I20" i="45"/>
  <c r="I38" i="45"/>
  <c r="I27" i="45"/>
  <c r="I13" i="45"/>
  <c r="I22" i="45"/>
  <c r="I39" i="45"/>
  <c r="I21" i="45"/>
  <c r="I9" i="45"/>
  <c r="I29" i="45"/>
  <c r="H42" i="45"/>
  <c r="I8" i="45"/>
  <c r="I12" i="45"/>
  <c r="I11" i="45"/>
  <c r="I28" i="45"/>
  <c r="I26" i="45"/>
  <c r="I25" i="45"/>
  <c r="I7" i="45"/>
  <c r="I24" i="45"/>
  <c r="I16" i="45"/>
  <c r="I33" i="45"/>
  <c r="I40" i="45"/>
  <c r="I23" i="45"/>
  <c r="G42" i="45"/>
  <c r="I42" i="45" l="1"/>
</calcChain>
</file>

<file path=xl/sharedStrings.xml><?xml version="1.0" encoding="utf-8"?>
<sst xmlns="http://schemas.openxmlformats.org/spreadsheetml/2006/main" count="1775" uniqueCount="198">
  <si>
    <t>건국훈장</t>
  </si>
  <si>
    <t>건국포장</t>
  </si>
  <si>
    <t>대통령표창</t>
  </si>
  <si>
    <t>[애국지사]</t>
  </si>
  <si>
    <t>전몰군경</t>
  </si>
  <si>
    <t>전상군경</t>
  </si>
  <si>
    <t>순직군경</t>
  </si>
  <si>
    <t>공상군경</t>
  </si>
  <si>
    <t>무공수훈자</t>
  </si>
  <si>
    <t>보국수훈자</t>
  </si>
  <si>
    <t>[4·19혁명]</t>
  </si>
  <si>
    <t>순직공무원</t>
  </si>
  <si>
    <t>공상공무원</t>
  </si>
  <si>
    <t>6·18자유상이자</t>
  </si>
  <si>
    <t>[지원대상자]</t>
  </si>
  <si>
    <t>[참전유공자]</t>
  </si>
  <si>
    <t>[5·18민주유공자]</t>
  </si>
  <si>
    <t>[특수임무유공자]</t>
  </si>
  <si>
    <t>6.25 및 월남참전유공자</t>
  </si>
  <si>
    <t>유족</t>
  </si>
  <si>
    <t>건국포장(순국선열)</t>
  </si>
  <si>
    <t>대통령표창(순국선열)</t>
  </si>
  <si>
    <t>건국훈장(애국지사)</t>
  </si>
  <si>
    <t>본인</t>
  </si>
  <si>
    <t>건국포장(애국지사)</t>
  </si>
  <si>
    <t>대통령표창(애국지사)</t>
  </si>
  <si>
    <t>재일학도의용군인</t>
  </si>
  <si>
    <t>4.19혁명사망자</t>
  </si>
  <si>
    <t>4.19혁명상이자</t>
  </si>
  <si>
    <t>4.19혁명공로자</t>
  </si>
  <si>
    <t>특별공로순직자</t>
  </si>
  <si>
    <t>6.18자유상이자</t>
  </si>
  <si>
    <t>지원순직군경</t>
  </si>
  <si>
    <t>지원공상군경</t>
  </si>
  <si>
    <t>지원순직공무원</t>
  </si>
  <si>
    <t>지원공상공무원</t>
  </si>
  <si>
    <t>6.25참전유공자</t>
  </si>
  <si>
    <t>월남참전유공자</t>
  </si>
  <si>
    <t>5.18부상자</t>
  </si>
  <si>
    <t>특수임무부상자</t>
  </si>
  <si>
    <t>특수임무공로자</t>
  </si>
  <si>
    <t>중.장기복무제대군인</t>
  </si>
  <si>
    <t>리포트 필터:</t>
  </si>
  <si>
    <t>대상구분_업무용</t>
  </si>
  <si>
    <t>본인유족구분</t>
  </si>
  <si>
    <t>대상자수</t>
  </si>
  <si>
    <t>합계</t>
  </si>
  <si>
    <t>건국훈장(순국선열)</t>
  </si>
  <si>
    <t>재해사망군경유족</t>
  </si>
  <si>
    <t>재해부상군경</t>
  </si>
  <si>
    <t>재해사망공무원유족</t>
  </si>
  <si>
    <t>재해부상공무원</t>
  </si>
  <si>
    <t>고엽제후유의증</t>
  </si>
  <si>
    <t>고엽제 후유증 2세 환자</t>
  </si>
  <si>
    <t>(단위 : 명)</t>
  </si>
  <si>
    <t>계</t>
  </si>
  <si>
    <t>본 인</t>
  </si>
  <si>
    <t>유 족</t>
  </si>
  <si>
    <t>(단위: 명)</t>
    <phoneticPr fontId="6" type="noConversion"/>
  </si>
  <si>
    <t>대상구분(대)</t>
  </si>
  <si>
    <t>대상구분</t>
  </si>
  <si>
    <r>
      <rPr>
        <b/>
        <sz val="11"/>
        <color indexed="8"/>
        <rFont val="맑은 고딕"/>
        <family val="3"/>
        <charset val="129"/>
      </rPr>
      <t>일반</t>
    </r>
    <r>
      <rPr>
        <b/>
        <sz val="11"/>
        <color indexed="8"/>
        <rFont val="Arial"/>
        <family val="2"/>
      </rPr>
      <t>(</t>
    </r>
    <r>
      <rPr>
        <b/>
        <sz val="11"/>
        <color indexed="8"/>
        <rFont val="맑은 고딕"/>
        <family val="3"/>
        <charset val="129"/>
      </rPr>
      <t>단독</t>
    </r>
    <r>
      <rPr>
        <b/>
        <sz val="11"/>
        <color indexed="8"/>
        <rFont val="Arial"/>
        <family val="2"/>
      </rPr>
      <t>,</t>
    </r>
    <r>
      <rPr>
        <b/>
        <sz val="11"/>
        <color indexed="8"/>
        <rFont val="맑은 고딕"/>
        <family val="3"/>
        <charset val="129"/>
      </rPr>
      <t>비경합</t>
    </r>
    <r>
      <rPr>
        <b/>
        <sz val="11"/>
        <color indexed="8"/>
        <rFont val="Arial"/>
        <family val="2"/>
      </rPr>
      <t>)</t>
    </r>
    <phoneticPr fontId="6" type="noConversion"/>
  </si>
  <si>
    <r>
      <rPr>
        <b/>
        <sz val="11"/>
        <color indexed="8"/>
        <rFont val="맑은 고딕"/>
        <family val="3"/>
        <charset val="129"/>
      </rPr>
      <t>전체대상자</t>
    </r>
    <phoneticPr fontId="6" type="noConversion"/>
  </si>
  <si>
    <r>
      <rPr>
        <b/>
        <sz val="11"/>
        <color indexed="8"/>
        <rFont val="맑은 고딕"/>
        <family val="3"/>
        <charset val="129"/>
      </rPr>
      <t>전체</t>
    </r>
    <r>
      <rPr>
        <b/>
        <sz val="11"/>
        <color indexed="8"/>
        <rFont val="Arial"/>
        <family val="2"/>
      </rPr>
      <t xml:space="preserve"> </t>
    </r>
    <r>
      <rPr>
        <b/>
        <sz val="11"/>
        <color indexed="8"/>
        <rFont val="맑은 고딕"/>
        <family val="3"/>
        <charset val="129"/>
      </rPr>
      <t>대상자</t>
    </r>
    <phoneticPr fontId="6" type="noConversion"/>
  </si>
  <si>
    <r>
      <rPr>
        <b/>
        <sz val="11"/>
        <color indexed="8"/>
        <rFont val="돋움"/>
        <family val="3"/>
        <charset val="129"/>
      </rPr>
      <t>본인</t>
    </r>
    <phoneticPr fontId="6" type="noConversion"/>
  </si>
  <si>
    <r>
      <rPr>
        <b/>
        <sz val="11"/>
        <color indexed="8"/>
        <rFont val="돋움"/>
        <family val="3"/>
        <charset val="129"/>
      </rPr>
      <t>유족</t>
    </r>
    <phoneticPr fontId="6" type="noConversion"/>
  </si>
  <si>
    <t>독립유공자</t>
  </si>
  <si>
    <t>순국선열</t>
  </si>
  <si>
    <t>애국지사</t>
  </si>
  <si>
    <t>국가유공자</t>
  </si>
  <si>
    <t>전몰군경유족</t>
  </si>
  <si>
    <t>순직군경유족</t>
  </si>
  <si>
    <t>6ㆍ25참전재일학도의용군인</t>
  </si>
  <si>
    <t>4ㆍ19혁명사망자</t>
  </si>
  <si>
    <t>4ㆍ19혁명상이자</t>
  </si>
  <si>
    <t>4ㆍ19혁명공로자</t>
  </si>
  <si>
    <t>준용대상</t>
  </si>
  <si>
    <t>6ㆍ18자유상이자</t>
  </si>
  <si>
    <t>지원대상</t>
  </si>
  <si>
    <t>보훈보상대상자</t>
  </si>
  <si>
    <t>참전유공자</t>
  </si>
  <si>
    <t>5.18민주유공자</t>
  </si>
  <si>
    <t>5ㆍ18부상자</t>
  </si>
  <si>
    <t>특수임무유공자</t>
  </si>
  <si>
    <t>합계</t>
    <phoneticPr fontId="6" type="noConversion"/>
  </si>
  <si>
    <t>복합(경합)*</t>
    <phoneticPr fontId="6" type="noConversion"/>
  </si>
  <si>
    <t xml:space="preserve">주석) </t>
    <phoneticPr fontId="17" type="noConversion"/>
  </si>
  <si>
    <t>중장기복무제대군인</t>
    <phoneticPr fontId="6" type="noConversion"/>
  </si>
  <si>
    <t>대상구분_업무용(대)</t>
  </si>
  <si>
    <t>성별</t>
  </si>
  <si>
    <t>남</t>
  </si>
  <si>
    <t>여</t>
  </si>
  <si>
    <t>제대군인</t>
  </si>
  <si>
    <t>실인원수</t>
  </si>
  <si>
    <t>연령(05세단위)</t>
  </si>
  <si>
    <t>대 상 별</t>
  </si>
  <si>
    <t xml:space="preserve"> </t>
  </si>
  <si>
    <t>기본현황(성별현황)</t>
  </si>
  <si>
    <t>기본현황(연령별현황)</t>
  </si>
  <si>
    <t>실인원수(성별연령별)</t>
  </si>
  <si>
    <t>주) 제적(국적상실), 등급기준 미달자, 단순 수훈자, 희생자력 제외</t>
  </si>
  <si>
    <t>† 합계는 등록대상별 현황의 합계(실인원이 아님)이며, (  )는 합계에 포함되지 않음</t>
  </si>
  <si>
    <t>‡ (고엽제후유증)은 국가유공자예우법상 '전몰·전상·순직·공상군경'에 포함(중복합산을 하지 않음)</t>
  </si>
  <si>
    <t xml:space="preserve"> - 적용 대상 국가유공자는 「국가유공자 등 예우 및 지원에 관한 법률」 제4조 참조</t>
  </si>
  <si>
    <t xml:space="preserve"> - 참전유공자는 「참전유공자예우 및 단체설립에 관한 법률」제2조에 의거 등록된 대상자 현황</t>
  </si>
  <si>
    <t>보 훈 대 상 별  현 황</t>
  </si>
  <si>
    <t>합      계†</t>
  </si>
  <si>
    <t>(고엽제후유증)‡</t>
  </si>
  <si>
    <t>[순국선열]</t>
  </si>
  <si>
    <t>[전몰·전상·순직·공상군경]</t>
  </si>
  <si>
    <t>└→(고엽제후유증)‡</t>
  </si>
  <si>
    <t>4·19혁명사망자</t>
  </si>
  <si>
    <t>4·19혁명부상자</t>
  </si>
  <si>
    <t>4·19혁명공로자</t>
  </si>
  <si>
    <t>[보훈보상대상자]</t>
  </si>
  <si>
    <t>재해사망군경</t>
  </si>
  <si>
    <t>재해사망공무원</t>
  </si>
  <si>
    <t>고엽제후유증2세</t>
  </si>
  <si>
    <t>5·18부상자</t>
  </si>
  <si>
    <t>중·장기복무제대군인</t>
  </si>
  <si>
    <t>(전월대비 변동)</t>
  </si>
  <si>
    <t>장기전역하사관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</si>
  <si>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</si>
  <si>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</si>
  <si>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</si>
  <si>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</si>
  <si>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</si>
  <si>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</si>
  <si>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</si>
  <si>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</si>
  <si>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</si>
  <si>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</si>
  <si>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</si>
  <si>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</si>
  <si>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80~84세</t>
  </si>
  <si>
    <t>85~89세</t>
  </si>
  <si>
    <t>90~94세</t>
  </si>
  <si>
    <t>95~99세</t>
  </si>
  <si>
    <t>100세이상</t>
  </si>
  <si>
    <t>5~9세</t>
  </si>
  <si>
    <t>10~14세</t>
  </si>
  <si>
    <t>15~19세</t>
  </si>
  <si>
    <t>5·18희생자</t>
  </si>
  <si>
    <t>5·18희생자</t>
    <phoneticPr fontId="17" type="noConversion"/>
  </si>
  <si>
    <t>5ㆍ18희생자</t>
    <phoneticPr fontId="17" type="noConversion"/>
  </si>
  <si>
    <t>5.18희생자</t>
  </si>
  <si>
    <t>5.18희생자</t>
    <phoneticPr fontId="17" type="noConversion"/>
  </si>
  <si>
    <t>복합경합에 대한 자세한 내역은 e통계의 보훈통계 &gt; 자력 &gt; 경합자현황(통합)을 통하여 확인할 수 있음</t>
  </si>
  <si>
    <t>▶발췌일자(2023-03-01)/'빈칸','해당없음'은 정상자력이거나 수정해야할 자력임.
▶소속기관에서는 수정해야할 자력의 경우 명단을 출력,'e-보훈'자력을 수정할것.
※「고엽제후유증」은 국가유공자예우법상 전몰.전상.순직.공상군경에 포함.</t>
    <phoneticPr fontId="17" type="noConversion"/>
  </si>
  <si>
    <t>15~19세</t>
    <phoneticPr fontId="17" type="noConversion"/>
  </si>
  <si>
    <t>본인</t>
    <phoneticPr fontId="17" type="noConversion"/>
  </si>
  <si>
    <t>▶발췌일자(20210601)/'빈칸','해당없음'은 정상자력이거나 수정해야할 자력임.
▶소속기관에서는 수정해야할 자력의 경우 명단을 출력,'e보훈'자력을 수정할것.
※「고엽제후유증」은 국가유공자예우법상 전몰.전상.순직.공상군경에 포함.</t>
  </si>
  <si>
    <t>본인</t>
    <phoneticPr fontId="17" type="noConversion"/>
  </si>
  <si>
    <t>6·25참전유공자</t>
  </si>
  <si>
    <t>6·25참전유공자</t>
    <phoneticPr fontId="17" type="noConversion"/>
  </si>
  <si>
    <t>6.25및월남참전유공자</t>
  </si>
  <si>
    <t>6.25및월남참전유공자</t>
    <phoneticPr fontId="17" type="noConversion"/>
  </si>
  <si>
    <t>월남참전유공자</t>
    <phoneticPr fontId="17" type="noConversion"/>
  </si>
  <si>
    <t>5·18사망·행불자</t>
  </si>
  <si>
    <t>5·18사망·행불자</t>
    <phoneticPr fontId="17" type="noConversion"/>
  </si>
  <si>
    <t>특수임무사망·행불자</t>
  </si>
  <si>
    <t>특수임무사망·행불자</t>
    <phoneticPr fontId="17" type="noConversion"/>
  </si>
  <si>
    <t>5.18사망·행불자</t>
    <phoneticPr fontId="17" type="noConversion"/>
  </si>
  <si>
    <t>5ㆍ18사망·행불자</t>
    <phoneticPr fontId="17" type="noConversion"/>
  </si>
  <si>
    <t>5.18사망·행불자</t>
    <phoneticPr fontId="17" type="noConversion"/>
  </si>
  <si>
    <t>특수임무사망·행불자</t>
    <phoneticPr fontId="17" type="noConversion"/>
  </si>
  <si>
    <t>[5·18민주유공자]</t>
    <phoneticPr fontId="17" type="noConversion"/>
  </si>
  <si>
    <t>[순직·공상공무원]</t>
  </si>
  <si>
    <t>고엽제후유의증
·후유증2세</t>
    <phoneticPr fontId="17" type="noConversion"/>
  </si>
  <si>
    <t>고엽제후유의증
·후유증2세</t>
    <phoneticPr fontId="17" type="noConversion"/>
  </si>
  <si>
    <t>[순직·공상공무원]</t>
    <phoneticPr fontId="17" type="noConversion"/>
  </si>
  <si>
    <t>▶발췌일자(2021-06-01)/'빈칸','해당없음'은 정상자력이거나 수정해야할 자력임.
▶소속기관에서는 수정해야할 자력의 경우 명단을 출력,'e-보훈'자력을 수정할것.
※「고엽제후유증」은 국가유공자예우법상 전몰.전상.순직.공상군경에 포함.</t>
    <phoneticPr fontId="17" type="noConversion"/>
  </si>
  <si>
    <t>(2026.04월말 기준, 총괄)</t>
    <phoneticPr fontId="17" type="noConversion"/>
  </si>
  <si>
    <t>( 2026.05월말 기준, 총괄 )</t>
    <phoneticPr fontId="17" type="noConversion"/>
  </si>
  <si>
    <r>
      <t>YMD_</t>
    </r>
    <r>
      <rPr>
        <sz val="8"/>
        <rFont val="돋움"/>
        <family val="3"/>
        <charset val="129"/>
      </rPr>
      <t>기준년월</t>
    </r>
    <r>
      <rPr>
        <sz val="8"/>
        <rFont val="Tahoma"/>
        <family val="2"/>
      </rPr>
      <t xml:space="preserve"> (ID) = "202605" </t>
    </r>
    <r>
      <rPr>
        <sz val="8"/>
        <rFont val="돋움"/>
        <family val="3"/>
        <charset val="129"/>
      </rPr>
      <t>와</t>
    </r>
    <r>
      <rPr>
        <sz val="8"/>
        <rFont val="Tahoma"/>
        <family val="2"/>
      </rPr>
      <t xml:space="preserve"> {</t>
    </r>
    <r>
      <rPr>
        <sz val="8"/>
        <rFont val="돋움"/>
        <family val="3"/>
        <charset val="129"/>
      </rPr>
      <t>정자력</t>
    </r>
    <r>
      <rPr>
        <sz val="8"/>
        <rFont val="Tahoma"/>
        <family val="2"/>
      </rPr>
      <t>/</t>
    </r>
    <r>
      <rPr>
        <sz val="8"/>
        <rFont val="돋움"/>
        <family val="3"/>
        <charset val="129"/>
      </rPr>
      <t>제적자력구분</t>
    </r>
    <r>
      <rPr>
        <sz val="8"/>
        <rFont val="Tahoma"/>
        <family val="2"/>
      </rPr>
      <t>}=</t>
    </r>
    <r>
      <rPr>
        <sz val="8"/>
        <rFont val="돋움"/>
        <family val="3"/>
        <charset val="129"/>
      </rPr>
      <t>정자력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와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본인유족구분</t>
    </r>
    <r>
      <rPr>
        <sz val="8"/>
        <rFont val="Tahoma"/>
        <family val="2"/>
      </rPr>
      <t>=</t>
    </r>
    <r>
      <rPr>
        <sz val="8"/>
        <rFont val="돋움"/>
        <family val="3"/>
        <charset val="129"/>
      </rPr>
      <t>본인</t>
    </r>
    <r>
      <rPr>
        <sz val="8"/>
        <rFont val="Tahoma"/>
        <family val="2"/>
      </rPr>
      <t xml:space="preserve">, </t>
    </r>
    <r>
      <rPr>
        <sz val="8"/>
        <rFont val="돋움"/>
        <family val="3"/>
        <charset val="129"/>
      </rPr>
      <t>유족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와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대상구분</t>
    </r>
    <r>
      <rPr>
        <sz val="8"/>
        <rFont val="Tahoma"/>
        <family val="2"/>
      </rPr>
      <t xml:space="preserve"> &lt;&gt; </t>
    </r>
    <r>
      <rPr>
        <sz val="8"/>
        <rFont val="돋움"/>
        <family val="3"/>
        <charset val="129"/>
      </rPr>
      <t>단순수훈자</t>
    </r>
    <r>
      <rPr>
        <sz val="8"/>
        <rFont val="Tahoma"/>
        <family val="2"/>
      </rPr>
      <t xml:space="preserve"> , </t>
    </r>
    <r>
      <rPr>
        <sz val="8"/>
        <rFont val="돋움"/>
        <family val="3"/>
        <charset val="129"/>
      </rPr>
      <t>희생자력</t>
    </r>
    <phoneticPr fontId="17" type="noConversion"/>
  </si>
  <si>
    <t>(2026.05월말 기준, 총괄)</t>
    <phoneticPr fontId="17" type="noConversion"/>
  </si>
  <si>
    <t>경합형태(단독, 복합)별 보훈대상자 현황('2026.05월말)</t>
    <phoneticPr fontId="17" type="noConversion"/>
  </si>
  <si>
    <r>
      <t>YMD_</t>
    </r>
    <r>
      <rPr>
        <sz val="8"/>
        <rFont val="돋움"/>
        <family val="3"/>
        <charset val="129"/>
      </rPr>
      <t>기준년월</t>
    </r>
    <r>
      <rPr>
        <sz val="8"/>
        <rFont val="Tahoma"/>
        <family val="2"/>
      </rPr>
      <t xml:space="preserve"> (ID) = "202605" </t>
    </r>
    <r>
      <rPr>
        <sz val="8"/>
        <rFont val="돋움"/>
        <family val="3"/>
        <charset val="129"/>
      </rPr>
      <t>와</t>
    </r>
    <r>
      <rPr>
        <sz val="8"/>
        <rFont val="Tahoma"/>
        <family val="2"/>
      </rPr>
      <t xml:space="preserve"> {</t>
    </r>
    <r>
      <rPr>
        <sz val="8"/>
        <rFont val="돋움"/>
        <family val="3"/>
        <charset val="129"/>
      </rPr>
      <t>정자력</t>
    </r>
    <r>
      <rPr>
        <sz val="8"/>
        <rFont val="Tahoma"/>
        <family val="2"/>
      </rPr>
      <t>/</t>
    </r>
    <r>
      <rPr>
        <sz val="8"/>
        <rFont val="돋움"/>
        <family val="3"/>
        <charset val="129"/>
      </rPr>
      <t>제적자력구분</t>
    </r>
    <r>
      <rPr>
        <sz val="8"/>
        <rFont val="Tahoma"/>
        <family val="2"/>
      </rPr>
      <t>}=</t>
    </r>
    <r>
      <rPr>
        <sz val="8"/>
        <rFont val="돋움"/>
        <family val="3"/>
        <charset val="129"/>
      </rPr>
      <t>정자력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와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본인유족구분</t>
    </r>
    <r>
      <rPr>
        <sz val="8"/>
        <rFont val="Tahoma"/>
        <family val="2"/>
      </rPr>
      <t>=</t>
    </r>
    <r>
      <rPr>
        <sz val="8"/>
        <rFont val="돋움"/>
        <family val="3"/>
        <charset val="129"/>
      </rPr>
      <t>본인</t>
    </r>
    <r>
      <rPr>
        <sz val="8"/>
        <rFont val="Tahoma"/>
        <family val="2"/>
      </rPr>
      <t xml:space="preserve">, </t>
    </r>
    <r>
      <rPr>
        <sz val="8"/>
        <rFont val="돋움"/>
        <family val="3"/>
        <charset val="129"/>
      </rPr>
      <t>유족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와</t>
    </r>
    <r>
      <rPr>
        <sz val="8"/>
        <rFont val="Tahoma"/>
        <family val="2"/>
      </rPr>
      <t xml:space="preserve"> </t>
    </r>
    <r>
      <rPr>
        <sz val="8"/>
        <rFont val="돋움"/>
        <family val="3"/>
        <charset val="129"/>
      </rPr>
      <t>대상구분</t>
    </r>
    <r>
      <rPr>
        <sz val="8"/>
        <rFont val="Tahoma"/>
        <family val="2"/>
      </rPr>
      <t xml:space="preserve"> &lt;&gt; </t>
    </r>
    <r>
      <rPr>
        <sz val="8"/>
        <rFont val="돋움"/>
        <family val="3"/>
        <charset val="129"/>
      </rPr>
      <t>단순수훈자</t>
    </r>
    <r>
      <rPr>
        <sz val="8"/>
        <rFont val="Tahoma"/>
        <family val="2"/>
      </rPr>
      <t xml:space="preserve"> , </t>
    </r>
    <r>
      <rPr>
        <sz val="8"/>
        <rFont val="돋움"/>
        <family val="3"/>
        <charset val="129"/>
      </rPr>
      <t>희생자력</t>
    </r>
    <phoneticPr fontId="17" type="noConversion"/>
  </si>
  <si>
    <t>( 2026.05월말 기준, 서울특별시 )</t>
    <phoneticPr fontId="17" type="noConversion"/>
  </si>
  <si>
    <t>( 2026.05월말 기준, 부산광역시 )</t>
    <phoneticPr fontId="6" type="noConversion"/>
  </si>
  <si>
    <t>( 2026.05월말 기준, 대구광역시 )</t>
    <phoneticPr fontId="17" type="noConversion"/>
  </si>
  <si>
    <t>( 2026.05월말 기준, 인천광역시 )</t>
    <phoneticPr fontId="17" type="noConversion"/>
  </si>
  <si>
    <t>( 2026.05월말 기준, 광주광역시 )</t>
    <phoneticPr fontId="17" type="noConversion"/>
  </si>
  <si>
    <t>( 2026.05월말 기준, 대전광역시 )</t>
    <phoneticPr fontId="17" type="noConversion"/>
  </si>
  <si>
    <t>( 2026.05월말 기준, 울산광역시 )</t>
    <phoneticPr fontId="17" type="noConversion"/>
  </si>
  <si>
    <t>( 2026.05월말 기준, 세종특별자치시 )</t>
    <phoneticPr fontId="17" type="noConversion"/>
  </si>
  <si>
    <t>( 2026.05월말 기준, 경기도 )</t>
    <phoneticPr fontId="17" type="noConversion"/>
  </si>
  <si>
    <t>( 2026.05월말 기준, 강원도 )</t>
    <phoneticPr fontId="17" type="noConversion"/>
  </si>
  <si>
    <t>( 2026.05월말 기준, 충청북도 )</t>
    <phoneticPr fontId="17" type="noConversion"/>
  </si>
  <si>
    <t>( 2026.05월말 기준, 충청남도 )</t>
    <phoneticPr fontId="17" type="noConversion"/>
  </si>
  <si>
    <t>( 2026.05월말 기준, 전라북도 )</t>
    <phoneticPr fontId="17" type="noConversion"/>
  </si>
  <si>
    <t>( 2026.05월말 기준, 전라남도 )</t>
    <phoneticPr fontId="17" type="noConversion"/>
  </si>
  <si>
    <t>( 2026.05월말 기준, 경상북도 )</t>
    <phoneticPr fontId="17" type="noConversion"/>
  </si>
  <si>
    <t>( 2026.05월말 기준, 경상남도 )</t>
    <phoneticPr fontId="17" type="noConversion"/>
  </si>
  <si>
    <t>( 2026.05월말 기준, 제주특별자치도 )</t>
    <phoneticPr fontId="17" type="noConversion"/>
  </si>
  <si>
    <t>( 2026.05월말 기준, 주소불명 )</t>
    <phoneticPr fontId="17" type="noConversion"/>
  </si>
  <si>
    <t>( 2026.05월말 기준, 해외 )</t>
    <phoneticPr fontId="17" type="noConversion"/>
  </si>
  <si>
    <t>( 2026.05월말 기준, 해당없음 )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</si>
</sst>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#,##0;[Red]#,##0"/>
    <numFmt numFmtId="177" formatCode="&quot;(20&quot;00&quot;.&quot;#0&quot;.&quot;#0&quot; 기준)&quot;"/>
    <numFmt numFmtId="178" formatCode="\(#,##0\);[Red]\(#,##0\)"/>
    <numFmt numFmtId="179" formatCode="#,##0_);[Red]\(#,##0\)"/>
    <numFmt numFmtId="180" formatCode="#,##0_ ;[Red]\-#,##0\ "/>
    <numFmt numFmtId="181" formatCode="&quot;₩&quot;#,##0.00;&quot;₩&quot;\-#,##0.00"/>
    <numFmt numFmtId="182" formatCode="_(* #,##0_);_(* \(#,##0\);_(* &quot;-&quot;_);_(@_)"/>
  </numFmts>
  <fonts count="85">
    <font>
      <sz val="10"/>
      <name val="바탕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12"/>
      <name val="맑은 고딕"/>
      <family val="3"/>
      <charset val="129"/>
    </font>
    <font>
      <b/>
      <sz val="8"/>
      <name val="맑은 고딕"/>
      <family val="3"/>
      <charset val="129"/>
    </font>
    <font>
      <sz val="8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2"/>
      <name val="맑은 고딕"/>
      <family val="3"/>
      <charset val="129"/>
    </font>
    <font>
      <b/>
      <sz val="9"/>
      <name val="맑은 고딕"/>
      <family val="3"/>
      <charset val="129"/>
    </font>
    <font>
      <b/>
      <i/>
      <sz val="9"/>
      <name val="맑은 고딕"/>
      <family val="3"/>
      <charset val="129"/>
    </font>
    <font>
      <sz val="8"/>
      <name val="바탕"/>
      <family val="1"/>
      <charset val="129"/>
    </font>
    <font>
      <b/>
      <i/>
      <sz val="9"/>
      <color indexed="8"/>
      <name val="맑은 고딕"/>
      <family val="3"/>
      <charset val="129"/>
    </font>
    <font>
      <sz val="9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바탕"/>
      <family val="1"/>
      <charset val="129"/>
    </font>
    <font>
      <sz val="14"/>
      <name val="뼻뮝"/>
      <family val="1"/>
      <charset val="129"/>
    </font>
    <font>
      <b/>
      <sz val="18"/>
      <color indexed="8"/>
      <name val="-윤명조140"/>
      <family val="1"/>
      <charset val="129"/>
    </font>
    <font>
      <sz val="12"/>
      <name val="뼻뮝"/>
      <family val="1"/>
      <charset val="129"/>
    </font>
    <font>
      <sz val="10"/>
      <name val="굴림체"/>
      <family val="3"/>
      <charset val="129"/>
    </font>
    <font>
      <sz val="13"/>
      <name val="견고딕"/>
      <family val="1"/>
      <charset val="129"/>
    </font>
    <font>
      <sz val="12"/>
      <name val="바탕체"/>
      <family val="1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2"/>
      <name val="System"/>
      <family val="2"/>
      <charset val="129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name val="Helv"/>
      <family val="2"/>
    </font>
    <font>
      <sz val="18"/>
      <name val="Tahoma"/>
      <family val="2"/>
    </font>
    <font>
      <sz val="8"/>
      <name val="Tahoma"/>
      <family val="2"/>
    </font>
    <font>
      <sz val="8"/>
      <name val="굴림"/>
      <family val="3"/>
      <charset val="129"/>
    </font>
    <font>
      <i/>
      <sz val="11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Arial"/>
      <family val="2"/>
    </font>
    <font>
      <b/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i/>
      <sz val="9"/>
      <color rgb="FF333399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000000"/>
      <name val="Arial"/>
      <family val="2"/>
    </font>
    <font>
      <b/>
      <sz val="8"/>
      <color rgb="FFFFFFFF"/>
      <name val="굴림"/>
      <family val="3"/>
      <charset val="129"/>
    </font>
    <font>
      <b/>
      <sz val="8"/>
      <color rgb="FF3F3F3F"/>
      <name val="굴림"/>
      <family val="3"/>
      <charset val="129"/>
    </font>
    <font>
      <sz val="8"/>
      <color rgb="FF4E5E78"/>
      <name val="굴림"/>
      <family val="3"/>
      <charset val="129"/>
    </font>
    <font>
      <b/>
      <i/>
      <sz val="9"/>
      <color rgb="FFFF0000"/>
      <name val="맑은 고딕"/>
      <family val="3"/>
      <charset val="129"/>
    </font>
    <font>
      <i/>
      <sz val="11"/>
      <color rgb="FF002060"/>
      <name val="맑은 고딕"/>
      <family val="3"/>
      <charset val="129"/>
    </font>
    <font>
      <b/>
      <i/>
      <sz val="11"/>
      <color rgb="FF333399"/>
      <name val="맑은 고딕"/>
      <family val="3"/>
      <charset val="129"/>
    </font>
    <font>
      <b/>
      <i/>
      <sz val="9"/>
      <color theme="4" tint="-0.249977111117893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i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b/>
      <sz val="11"/>
      <color theme="1"/>
      <name val="맑은 고딕"/>
      <family val="3"/>
      <charset val="129"/>
    </font>
    <font>
      <sz val="8"/>
      <color rgb="FF3F3F3F"/>
      <name val="굴림"/>
      <family val="3"/>
      <charset val="129"/>
    </font>
    <font>
      <sz val="11"/>
      <color indexed="8"/>
      <name val="맑은 고딕"/>
      <family val="2"/>
      <scheme val="minor"/>
    </font>
    <font>
      <sz val="10"/>
      <color rgb="FFFF0000"/>
      <name val="바탕"/>
      <family val="1"/>
      <charset val="129"/>
    </font>
  </fonts>
  <fills count="4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192AD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/>
      <bottom/>
      <diagonal/>
    </border>
  </borders>
  <cellStyleXfs count="636">
    <xf numFmtId="0" fontId="0" fillId="0" borderId="0"/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/>
    <xf numFmtId="0" fontId="32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34" fillId="0" borderId="0" applyFont="0" applyFill="0" applyBorder="0" applyAlignment="0" applyProtection="0"/>
    <xf numFmtId="2" fontId="34" fillId="0" borderId="0" applyFont="0" applyFill="0" applyBorder="0" applyAlignment="0" applyProtection="0"/>
    <xf numFmtId="0" fontId="35" fillId="0" borderId="1" applyNumberFormat="0" applyAlignment="0" applyProtection="0">
      <alignment horizontal="left" vertical="center"/>
    </xf>
    <xf numFmtId="0" fontId="35" fillId="0" borderId="2">
      <alignment horizontal="left" vertical="center"/>
    </xf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/>
    <xf numFmtId="10" fontId="34" fillId="0" borderId="0" applyFont="0" applyFill="0" applyBorder="0" applyAlignment="0" applyProtection="0"/>
    <xf numFmtId="0" fontId="37" fillId="0" borderId="0"/>
    <xf numFmtId="0" fontId="34" fillId="0" borderId="3" applyNumberFormat="0" applyFont="0" applyFill="0" applyAlignment="0" applyProtection="0"/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7" borderId="30" applyNumberFormat="0" applyAlignment="0" applyProtection="0">
      <alignment vertical="center"/>
    </xf>
    <xf numFmtId="0" fontId="48" fillId="27" borderId="30" applyNumberFormat="0" applyAlignment="0" applyProtection="0">
      <alignment vertical="center"/>
    </xf>
    <xf numFmtId="0" fontId="48" fillId="27" borderId="30" applyNumberFormat="0" applyAlignment="0" applyProtection="0">
      <alignment vertical="center"/>
    </xf>
    <xf numFmtId="0" fontId="48" fillId="27" borderId="30" applyNumberFormat="0" applyAlignment="0" applyProtection="0">
      <alignment vertical="center"/>
    </xf>
    <xf numFmtId="0" fontId="48" fillId="27" borderId="30" applyNumberFormat="0" applyAlignment="0" applyProtection="0">
      <alignment vertical="center"/>
    </xf>
    <xf numFmtId="0" fontId="48" fillId="27" borderId="30" applyNumberFormat="0" applyAlignment="0" applyProtection="0">
      <alignment vertical="center"/>
    </xf>
    <xf numFmtId="0" fontId="48" fillId="27" borderId="30" applyNumberFormat="0" applyAlignment="0" applyProtection="0">
      <alignment vertical="center"/>
    </xf>
    <xf numFmtId="0" fontId="48" fillId="27" borderId="30" applyNumberFormat="0" applyAlignment="0" applyProtection="0">
      <alignment vertical="center"/>
    </xf>
    <xf numFmtId="0" fontId="48" fillId="27" borderId="30" applyNumberFormat="0" applyAlignment="0" applyProtection="0">
      <alignment vertical="center"/>
    </xf>
    <xf numFmtId="0" fontId="48" fillId="27" borderId="30" applyNumberFormat="0" applyAlignment="0" applyProtection="0">
      <alignment vertical="center"/>
    </xf>
    <xf numFmtId="0" fontId="48" fillId="27" borderId="30" applyNumberFormat="0" applyAlignment="0" applyProtection="0">
      <alignment vertical="center"/>
    </xf>
    <xf numFmtId="0" fontId="48" fillId="27" borderId="30" applyNumberFormat="0" applyAlignment="0" applyProtection="0">
      <alignment vertical="center"/>
    </xf>
    <xf numFmtId="0" fontId="48" fillId="27" borderId="30" applyNumberFormat="0" applyAlignment="0" applyProtection="0">
      <alignment vertical="center"/>
    </xf>
    <xf numFmtId="0" fontId="48" fillId="27" borderId="30" applyNumberFormat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40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5" fillId="0" borderId="0">
      <alignment horizontal="center"/>
    </xf>
    <xf numFmtId="0" fontId="45" fillId="29" borderId="31" applyNumberFormat="0" applyFont="0" applyAlignment="0" applyProtection="0">
      <alignment vertical="center"/>
    </xf>
    <xf numFmtId="0" fontId="45" fillId="29" borderId="31" applyNumberFormat="0" applyFont="0" applyAlignment="0" applyProtection="0">
      <alignment vertical="center"/>
    </xf>
    <xf numFmtId="0" fontId="45" fillId="29" borderId="31" applyNumberFormat="0" applyFont="0" applyAlignment="0" applyProtection="0">
      <alignment vertical="center"/>
    </xf>
    <xf numFmtId="0" fontId="45" fillId="29" borderId="31" applyNumberFormat="0" applyFont="0" applyAlignment="0" applyProtection="0">
      <alignment vertical="center"/>
    </xf>
    <xf numFmtId="0" fontId="45" fillId="29" borderId="31" applyNumberFormat="0" applyFont="0" applyAlignment="0" applyProtection="0">
      <alignment vertical="center"/>
    </xf>
    <xf numFmtId="0" fontId="45" fillId="29" borderId="31" applyNumberFormat="0" applyFont="0" applyAlignment="0" applyProtection="0">
      <alignment vertical="center"/>
    </xf>
    <xf numFmtId="0" fontId="45" fillId="29" borderId="31" applyNumberFormat="0" applyFont="0" applyAlignment="0" applyProtection="0">
      <alignment vertical="center"/>
    </xf>
    <xf numFmtId="0" fontId="45" fillId="29" borderId="31" applyNumberFormat="0" applyFont="0" applyAlignment="0" applyProtection="0">
      <alignment vertical="center"/>
    </xf>
    <xf numFmtId="0" fontId="45" fillId="29" borderId="31" applyNumberFormat="0" applyFont="0" applyAlignment="0" applyProtection="0">
      <alignment vertical="center"/>
    </xf>
    <xf numFmtId="0" fontId="45" fillId="29" borderId="31" applyNumberFormat="0" applyFont="0" applyAlignment="0" applyProtection="0">
      <alignment vertical="center"/>
    </xf>
    <xf numFmtId="0" fontId="45" fillId="29" borderId="31" applyNumberFormat="0" applyFont="0" applyAlignment="0" applyProtection="0">
      <alignment vertical="center"/>
    </xf>
    <xf numFmtId="0" fontId="45" fillId="29" borderId="31" applyNumberFormat="0" applyFont="0" applyAlignment="0" applyProtection="0">
      <alignment vertical="center"/>
    </xf>
    <xf numFmtId="0" fontId="45" fillId="29" borderId="31" applyNumberFormat="0" applyFont="0" applyAlignment="0" applyProtection="0">
      <alignment vertical="center"/>
    </xf>
    <xf numFmtId="0" fontId="45" fillId="29" borderId="31" applyNumberFormat="0" applyFont="0" applyAlignment="0" applyProtection="0">
      <alignment vertical="center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26" fillId="0" borderId="0"/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31" borderId="32" applyNumberFormat="0" applyAlignment="0" applyProtection="0">
      <alignment vertical="center"/>
    </xf>
    <xf numFmtId="0" fontId="52" fillId="31" borderId="32" applyNumberFormat="0" applyAlignment="0" applyProtection="0">
      <alignment vertical="center"/>
    </xf>
    <xf numFmtId="0" fontId="52" fillId="31" borderId="32" applyNumberFormat="0" applyAlignment="0" applyProtection="0">
      <alignment vertical="center"/>
    </xf>
    <xf numFmtId="0" fontId="52" fillId="31" borderId="32" applyNumberFormat="0" applyAlignment="0" applyProtection="0">
      <alignment vertical="center"/>
    </xf>
    <xf numFmtId="0" fontId="52" fillId="31" borderId="32" applyNumberFormat="0" applyAlignment="0" applyProtection="0">
      <alignment vertical="center"/>
    </xf>
    <xf numFmtId="0" fontId="52" fillId="31" borderId="32" applyNumberFormat="0" applyAlignment="0" applyProtection="0">
      <alignment vertical="center"/>
    </xf>
    <xf numFmtId="0" fontId="52" fillId="31" borderId="32" applyNumberFormat="0" applyAlignment="0" applyProtection="0">
      <alignment vertical="center"/>
    </xf>
    <xf numFmtId="0" fontId="52" fillId="31" borderId="32" applyNumberFormat="0" applyAlignment="0" applyProtection="0">
      <alignment vertical="center"/>
    </xf>
    <xf numFmtId="0" fontId="52" fillId="31" borderId="32" applyNumberFormat="0" applyAlignment="0" applyProtection="0">
      <alignment vertical="center"/>
    </xf>
    <xf numFmtId="0" fontId="52" fillId="31" borderId="32" applyNumberFormat="0" applyAlignment="0" applyProtection="0">
      <alignment vertical="center"/>
    </xf>
    <xf numFmtId="0" fontId="52" fillId="31" borderId="32" applyNumberFormat="0" applyAlignment="0" applyProtection="0">
      <alignment vertical="center"/>
    </xf>
    <xf numFmtId="0" fontId="52" fillId="31" borderId="32" applyNumberFormat="0" applyAlignment="0" applyProtection="0">
      <alignment vertical="center"/>
    </xf>
    <xf numFmtId="0" fontId="52" fillId="31" borderId="32" applyNumberFormat="0" applyAlignment="0" applyProtection="0">
      <alignment vertical="center"/>
    </xf>
    <xf numFmtId="0" fontId="52" fillId="31" borderId="3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0" fontId="27" fillId="0" borderId="0" applyFont="0" applyFill="0" applyBorder="0" applyAlignment="0" applyProtection="0"/>
    <xf numFmtId="0" fontId="53" fillId="0" borderId="33" applyNumberFormat="0" applyFill="0" applyAlignment="0" applyProtection="0">
      <alignment vertical="center"/>
    </xf>
    <xf numFmtId="0" fontId="53" fillId="0" borderId="33" applyNumberFormat="0" applyFill="0" applyAlignment="0" applyProtection="0">
      <alignment vertical="center"/>
    </xf>
    <xf numFmtId="0" fontId="53" fillId="0" borderId="33" applyNumberFormat="0" applyFill="0" applyAlignment="0" applyProtection="0">
      <alignment vertical="center"/>
    </xf>
    <xf numFmtId="0" fontId="53" fillId="0" borderId="33" applyNumberFormat="0" applyFill="0" applyAlignment="0" applyProtection="0">
      <alignment vertical="center"/>
    </xf>
    <xf numFmtId="0" fontId="53" fillId="0" borderId="33" applyNumberFormat="0" applyFill="0" applyAlignment="0" applyProtection="0">
      <alignment vertical="center"/>
    </xf>
    <xf numFmtId="0" fontId="53" fillId="0" borderId="33" applyNumberFormat="0" applyFill="0" applyAlignment="0" applyProtection="0">
      <alignment vertical="center"/>
    </xf>
    <xf numFmtId="0" fontId="53" fillId="0" borderId="33" applyNumberFormat="0" applyFill="0" applyAlignment="0" applyProtection="0">
      <alignment vertical="center"/>
    </xf>
    <xf numFmtId="0" fontId="53" fillId="0" borderId="33" applyNumberFormat="0" applyFill="0" applyAlignment="0" applyProtection="0">
      <alignment vertical="center"/>
    </xf>
    <xf numFmtId="0" fontId="53" fillId="0" borderId="33" applyNumberFormat="0" applyFill="0" applyAlignment="0" applyProtection="0">
      <alignment vertical="center"/>
    </xf>
    <xf numFmtId="0" fontId="53" fillId="0" borderId="33" applyNumberFormat="0" applyFill="0" applyAlignment="0" applyProtection="0">
      <alignment vertical="center"/>
    </xf>
    <xf numFmtId="0" fontId="53" fillId="0" borderId="33" applyNumberFormat="0" applyFill="0" applyAlignment="0" applyProtection="0">
      <alignment vertical="center"/>
    </xf>
    <xf numFmtId="0" fontId="53" fillId="0" borderId="33" applyNumberFormat="0" applyFill="0" applyAlignment="0" applyProtection="0">
      <alignment vertical="center"/>
    </xf>
    <xf numFmtId="0" fontId="53" fillId="0" borderId="33" applyNumberFormat="0" applyFill="0" applyAlignment="0" applyProtection="0">
      <alignment vertical="center"/>
    </xf>
    <xf numFmtId="0" fontId="53" fillId="0" borderId="33" applyNumberFormat="0" applyFill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5" fillId="32" borderId="30" applyNumberFormat="0" applyAlignment="0" applyProtection="0">
      <alignment vertical="center"/>
    </xf>
    <xf numFmtId="0" fontId="55" fillId="32" borderId="30" applyNumberFormat="0" applyAlignment="0" applyProtection="0">
      <alignment vertical="center"/>
    </xf>
    <xf numFmtId="0" fontId="55" fillId="32" borderId="30" applyNumberFormat="0" applyAlignment="0" applyProtection="0">
      <alignment vertical="center"/>
    </xf>
    <xf numFmtId="0" fontId="55" fillId="32" borderId="30" applyNumberFormat="0" applyAlignment="0" applyProtection="0">
      <alignment vertical="center"/>
    </xf>
    <xf numFmtId="0" fontId="55" fillId="32" borderId="30" applyNumberFormat="0" applyAlignment="0" applyProtection="0">
      <alignment vertical="center"/>
    </xf>
    <xf numFmtId="0" fontId="55" fillId="32" borderId="30" applyNumberFormat="0" applyAlignment="0" applyProtection="0">
      <alignment vertical="center"/>
    </xf>
    <xf numFmtId="0" fontId="55" fillId="32" borderId="30" applyNumberFormat="0" applyAlignment="0" applyProtection="0">
      <alignment vertical="center"/>
    </xf>
    <xf numFmtId="0" fontId="55" fillId="32" borderId="30" applyNumberFormat="0" applyAlignment="0" applyProtection="0">
      <alignment vertical="center"/>
    </xf>
    <xf numFmtId="0" fontId="55" fillId="32" borderId="30" applyNumberFormat="0" applyAlignment="0" applyProtection="0">
      <alignment vertical="center"/>
    </xf>
    <xf numFmtId="0" fontId="55" fillId="32" borderId="30" applyNumberFormat="0" applyAlignment="0" applyProtection="0">
      <alignment vertical="center"/>
    </xf>
    <xf numFmtId="0" fontId="55" fillId="32" borderId="30" applyNumberFormat="0" applyAlignment="0" applyProtection="0">
      <alignment vertical="center"/>
    </xf>
    <xf numFmtId="0" fontId="55" fillId="32" borderId="30" applyNumberFormat="0" applyAlignment="0" applyProtection="0">
      <alignment vertical="center"/>
    </xf>
    <xf numFmtId="0" fontId="55" fillId="32" borderId="30" applyNumberFormat="0" applyAlignment="0" applyProtection="0">
      <alignment vertical="center"/>
    </xf>
    <xf numFmtId="0" fontId="55" fillId="32" borderId="30" applyNumberFormat="0" applyAlignment="0" applyProtection="0">
      <alignment vertical="center"/>
    </xf>
    <xf numFmtId="0" fontId="57" fillId="0" borderId="35" applyNumberFormat="0" applyFill="0" applyAlignment="0" applyProtection="0">
      <alignment vertical="center"/>
    </xf>
    <xf numFmtId="0" fontId="57" fillId="0" borderId="35" applyNumberFormat="0" applyFill="0" applyAlignment="0" applyProtection="0">
      <alignment vertical="center"/>
    </xf>
    <xf numFmtId="0" fontId="57" fillId="0" borderId="35" applyNumberFormat="0" applyFill="0" applyAlignment="0" applyProtection="0">
      <alignment vertical="center"/>
    </xf>
    <xf numFmtId="0" fontId="57" fillId="0" borderId="35" applyNumberFormat="0" applyFill="0" applyAlignment="0" applyProtection="0">
      <alignment vertical="center"/>
    </xf>
    <xf numFmtId="0" fontId="57" fillId="0" borderId="35" applyNumberFormat="0" applyFill="0" applyAlignment="0" applyProtection="0">
      <alignment vertical="center"/>
    </xf>
    <xf numFmtId="0" fontId="57" fillId="0" borderId="35" applyNumberFormat="0" applyFill="0" applyAlignment="0" applyProtection="0">
      <alignment vertical="center"/>
    </xf>
    <xf numFmtId="0" fontId="57" fillId="0" borderId="35" applyNumberFormat="0" applyFill="0" applyAlignment="0" applyProtection="0">
      <alignment vertical="center"/>
    </xf>
    <xf numFmtId="0" fontId="57" fillId="0" borderId="35" applyNumberFormat="0" applyFill="0" applyAlignment="0" applyProtection="0">
      <alignment vertical="center"/>
    </xf>
    <xf numFmtId="0" fontId="57" fillId="0" borderId="35" applyNumberFormat="0" applyFill="0" applyAlignment="0" applyProtection="0">
      <alignment vertical="center"/>
    </xf>
    <xf numFmtId="0" fontId="57" fillId="0" borderId="35" applyNumberFormat="0" applyFill="0" applyAlignment="0" applyProtection="0">
      <alignment vertical="center"/>
    </xf>
    <xf numFmtId="0" fontId="57" fillId="0" borderId="35" applyNumberFormat="0" applyFill="0" applyAlignment="0" applyProtection="0">
      <alignment vertical="center"/>
    </xf>
    <xf numFmtId="0" fontId="57" fillId="0" borderId="35" applyNumberFormat="0" applyFill="0" applyAlignment="0" applyProtection="0">
      <alignment vertical="center"/>
    </xf>
    <xf numFmtId="0" fontId="57" fillId="0" borderId="35" applyNumberFormat="0" applyFill="0" applyAlignment="0" applyProtection="0">
      <alignment vertical="center"/>
    </xf>
    <xf numFmtId="0" fontId="57" fillId="0" borderId="35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60" fillId="0" borderId="37" applyNumberFormat="0" applyFill="0" applyAlignment="0" applyProtection="0">
      <alignment vertical="center"/>
    </xf>
    <xf numFmtId="0" fontId="60" fillId="0" borderId="37" applyNumberFormat="0" applyFill="0" applyAlignment="0" applyProtection="0">
      <alignment vertical="center"/>
    </xf>
    <xf numFmtId="0" fontId="60" fillId="0" borderId="37" applyNumberFormat="0" applyFill="0" applyAlignment="0" applyProtection="0">
      <alignment vertical="center"/>
    </xf>
    <xf numFmtId="0" fontId="60" fillId="0" borderId="37" applyNumberFormat="0" applyFill="0" applyAlignment="0" applyProtection="0">
      <alignment vertical="center"/>
    </xf>
    <xf numFmtId="0" fontId="60" fillId="0" borderId="37" applyNumberFormat="0" applyFill="0" applyAlignment="0" applyProtection="0">
      <alignment vertical="center"/>
    </xf>
    <xf numFmtId="0" fontId="60" fillId="0" borderId="37" applyNumberFormat="0" applyFill="0" applyAlignment="0" applyProtection="0">
      <alignment vertical="center"/>
    </xf>
    <xf numFmtId="0" fontId="60" fillId="0" borderId="37" applyNumberFormat="0" applyFill="0" applyAlignment="0" applyProtection="0">
      <alignment vertical="center"/>
    </xf>
    <xf numFmtId="0" fontId="60" fillId="0" borderId="37" applyNumberFormat="0" applyFill="0" applyAlignment="0" applyProtection="0">
      <alignment vertical="center"/>
    </xf>
    <xf numFmtId="0" fontId="60" fillId="0" borderId="37" applyNumberFormat="0" applyFill="0" applyAlignment="0" applyProtection="0">
      <alignment vertical="center"/>
    </xf>
    <xf numFmtId="0" fontId="60" fillId="0" borderId="37" applyNumberFormat="0" applyFill="0" applyAlignment="0" applyProtection="0">
      <alignment vertical="center"/>
    </xf>
    <xf numFmtId="0" fontId="60" fillId="0" borderId="37" applyNumberFormat="0" applyFill="0" applyAlignment="0" applyProtection="0">
      <alignment vertical="center"/>
    </xf>
    <xf numFmtId="0" fontId="60" fillId="0" borderId="37" applyNumberFormat="0" applyFill="0" applyAlignment="0" applyProtection="0">
      <alignment vertical="center"/>
    </xf>
    <xf numFmtId="0" fontId="60" fillId="0" borderId="37" applyNumberFormat="0" applyFill="0" applyAlignment="0" applyProtection="0">
      <alignment vertical="center"/>
    </xf>
    <xf numFmtId="0" fontId="60" fillId="0" borderId="37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28" fillId="0" borderId="0" applyNumberFormat="0" applyFill="0" applyBorder="0" applyProtection="0">
      <alignment horizontal="left" wrapText="1" readingOrder="1"/>
    </xf>
    <xf numFmtId="0" fontId="62" fillId="27" borderId="38" applyNumberFormat="0" applyAlignment="0" applyProtection="0">
      <alignment vertical="center"/>
    </xf>
    <xf numFmtId="0" fontId="62" fillId="27" borderId="38" applyNumberFormat="0" applyAlignment="0" applyProtection="0">
      <alignment vertical="center"/>
    </xf>
    <xf numFmtId="0" fontId="62" fillId="27" borderId="38" applyNumberFormat="0" applyAlignment="0" applyProtection="0">
      <alignment vertical="center"/>
    </xf>
    <xf numFmtId="0" fontId="62" fillId="27" borderId="38" applyNumberFormat="0" applyAlignment="0" applyProtection="0">
      <alignment vertical="center"/>
    </xf>
    <xf numFmtId="0" fontId="62" fillId="27" borderId="38" applyNumberFormat="0" applyAlignment="0" applyProtection="0">
      <alignment vertical="center"/>
    </xf>
    <xf numFmtId="0" fontId="62" fillId="27" borderId="38" applyNumberFormat="0" applyAlignment="0" applyProtection="0">
      <alignment vertical="center"/>
    </xf>
    <xf numFmtId="0" fontId="62" fillId="27" borderId="38" applyNumberFormat="0" applyAlignment="0" applyProtection="0">
      <alignment vertical="center"/>
    </xf>
    <xf numFmtId="0" fontId="62" fillId="27" borderId="38" applyNumberFormat="0" applyAlignment="0" applyProtection="0">
      <alignment vertical="center"/>
    </xf>
    <xf numFmtId="0" fontId="62" fillId="27" borderId="38" applyNumberFormat="0" applyAlignment="0" applyProtection="0">
      <alignment vertical="center"/>
    </xf>
    <xf numFmtId="0" fontId="62" fillId="27" borderId="38" applyNumberFormat="0" applyAlignment="0" applyProtection="0">
      <alignment vertical="center"/>
    </xf>
    <xf numFmtId="0" fontId="62" fillId="27" borderId="38" applyNumberFormat="0" applyAlignment="0" applyProtection="0">
      <alignment vertical="center"/>
    </xf>
    <xf numFmtId="0" fontId="62" fillId="27" borderId="38" applyNumberFormat="0" applyAlignment="0" applyProtection="0">
      <alignment vertical="center"/>
    </xf>
    <xf numFmtId="0" fontId="62" fillId="27" borderId="38" applyNumberFormat="0" applyAlignment="0" applyProtection="0">
      <alignment vertical="center"/>
    </xf>
    <xf numFmtId="0" fontId="62" fillId="27" borderId="38" applyNumberFormat="0" applyAlignment="0" applyProtection="0">
      <alignment vertical="center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23" fillId="0" borderId="0"/>
    <xf numFmtId="0" fontId="4" fillId="0" borderId="0">
      <alignment vertical="center"/>
    </xf>
    <xf numFmtId="0" fontId="4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" fillId="0" borderId="0"/>
    <xf numFmtId="0" fontId="2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/>
    <xf numFmtId="0" fontId="8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89">
    <xf numFmtId="0" fontId="0" fillId="0" borderId="0" xfId="0"/>
    <xf numFmtId="176" fontId="5" fillId="0" borderId="0" xfId="617" applyNumberFormat="1" applyFont="1" applyFill="1" applyAlignment="1" applyProtection="1">
      <alignment vertical="center"/>
    </xf>
    <xf numFmtId="176" fontId="8" fillId="0" borderId="0" xfId="617" applyNumberFormat="1" applyFont="1" applyFill="1" applyAlignment="1" applyProtection="1">
      <alignment vertical="center"/>
    </xf>
    <xf numFmtId="0" fontId="9" fillId="0" borderId="0" xfId="618" applyFont="1" applyAlignment="1">
      <alignment vertical="center"/>
    </xf>
    <xf numFmtId="0" fontId="11" fillId="0" borderId="0" xfId="618" applyFont="1" applyAlignment="1">
      <alignment vertical="center"/>
    </xf>
    <xf numFmtId="0" fontId="11" fillId="0" borderId="0" xfId="618" applyFont="1" applyBorder="1" applyAlignment="1">
      <alignment vertical="center"/>
    </xf>
    <xf numFmtId="0" fontId="14" fillId="0" borderId="0" xfId="618" applyFont="1" applyAlignment="1">
      <alignment vertical="center"/>
    </xf>
    <xf numFmtId="0" fontId="14" fillId="0" borderId="0" xfId="618" applyFont="1" applyAlignment="1"/>
    <xf numFmtId="0" fontId="19" fillId="0" borderId="0" xfId="618" applyFont="1" applyBorder="1" applyAlignment="1">
      <alignment vertical="top"/>
    </xf>
    <xf numFmtId="0" fontId="4" fillId="0" borderId="0" xfId="627" applyAlignment="1">
      <alignment vertical="center"/>
    </xf>
    <xf numFmtId="0" fontId="21" fillId="0" borderId="0" xfId="618" applyFont="1" applyAlignment="1">
      <alignment vertical="center"/>
    </xf>
    <xf numFmtId="0" fontId="63" fillId="0" borderId="0" xfId="618" applyFont="1" applyAlignment="1">
      <alignment vertical="center"/>
    </xf>
    <xf numFmtId="0" fontId="63" fillId="0" borderId="0" xfId="627" applyFont="1" applyAlignment="1">
      <alignment vertical="center"/>
    </xf>
    <xf numFmtId="0" fontId="21" fillId="0" borderId="0" xfId="618" applyFont="1" applyBorder="1" applyAlignment="1">
      <alignment vertical="center"/>
    </xf>
    <xf numFmtId="41" fontId="11" fillId="0" borderId="0" xfId="469" applyFont="1" applyBorder="1" applyAlignment="1">
      <alignment vertical="center"/>
    </xf>
    <xf numFmtId="41" fontId="11" fillId="0" borderId="0" xfId="469" applyFont="1" applyAlignment="1">
      <alignment vertical="center"/>
    </xf>
    <xf numFmtId="0" fontId="11" fillId="0" borderId="0" xfId="618" applyFont="1" applyAlignment="1">
      <alignment horizontal="left" vertical="center"/>
    </xf>
    <xf numFmtId="0" fontId="7" fillId="0" borderId="0" xfId="627" applyFont="1" applyAlignment="1">
      <alignment vertical="center"/>
    </xf>
    <xf numFmtId="41" fontId="21" fillId="0" borderId="0" xfId="469" applyFont="1" applyAlignment="1">
      <alignment vertical="center"/>
    </xf>
    <xf numFmtId="41" fontId="21" fillId="0" borderId="0" xfId="469" applyFont="1" applyBorder="1" applyAlignment="1">
      <alignment vertical="center"/>
    </xf>
    <xf numFmtId="0" fontId="22" fillId="0" borderId="0" xfId="618" applyFont="1" applyAlignment="1">
      <alignment vertical="center"/>
    </xf>
    <xf numFmtId="0" fontId="21" fillId="0" borderId="0" xfId="618" applyFont="1" applyAlignment="1">
      <alignment horizontal="left" vertical="center"/>
    </xf>
    <xf numFmtId="0" fontId="23" fillId="0" borderId="0" xfId="0" applyFont="1" applyAlignment="1"/>
    <xf numFmtId="0" fontId="6" fillId="0" borderId="0" xfId="618" applyFont="1" applyAlignment="1">
      <alignment vertical="center"/>
    </xf>
    <xf numFmtId="0" fontId="6" fillId="0" borderId="0" xfId="618" applyFont="1" applyBorder="1" applyAlignment="1">
      <alignment vertical="center"/>
    </xf>
    <xf numFmtId="41" fontId="6" fillId="0" borderId="0" xfId="469" applyFont="1" applyBorder="1" applyAlignment="1">
      <alignment vertical="center"/>
    </xf>
    <xf numFmtId="41" fontId="6" fillId="0" borderId="0" xfId="469" applyFont="1" applyAlignment="1">
      <alignment vertical="center"/>
    </xf>
    <xf numFmtId="0" fontId="6" fillId="0" borderId="0" xfId="618" applyFont="1" applyAlignment="1">
      <alignment horizontal="left" vertical="center"/>
    </xf>
    <xf numFmtId="0" fontId="64" fillId="0" borderId="0" xfId="618" applyFont="1" applyAlignment="1">
      <alignment vertical="center"/>
    </xf>
    <xf numFmtId="0" fontId="65" fillId="0" borderId="0" xfId="627" applyFont="1" applyAlignment="1">
      <alignment vertical="center"/>
    </xf>
    <xf numFmtId="0" fontId="4" fillId="0" borderId="0" xfId="627" applyFill="1" applyAlignment="1">
      <alignment vertical="center"/>
    </xf>
    <xf numFmtId="0" fontId="21" fillId="0" borderId="0" xfId="618" applyFont="1" applyFill="1" applyBorder="1" applyAlignment="1">
      <alignment vertical="center"/>
    </xf>
    <xf numFmtId="0" fontId="45" fillId="0" borderId="0" xfId="623">
      <alignment vertical="center"/>
    </xf>
    <xf numFmtId="0" fontId="66" fillId="0" borderId="0" xfId="623" applyFont="1" applyAlignment="1">
      <alignment horizontal="center" vertical="center"/>
    </xf>
    <xf numFmtId="0" fontId="45" fillId="0" borderId="0" xfId="623" applyAlignment="1">
      <alignment horizontal="center" vertical="center"/>
    </xf>
    <xf numFmtId="0" fontId="45" fillId="0" borderId="0" xfId="623" applyAlignment="1">
      <alignment horizontal="right" vertical="center"/>
    </xf>
    <xf numFmtId="49" fontId="45" fillId="0" borderId="4" xfId="623" applyNumberFormat="1" applyBorder="1">
      <alignment vertical="center"/>
    </xf>
    <xf numFmtId="41" fontId="45" fillId="34" borderId="4" xfId="472" applyFont="1" applyFill="1" applyBorder="1">
      <alignment vertical="center"/>
    </xf>
    <xf numFmtId="41" fontId="45" fillId="0" borderId="4" xfId="472" applyFont="1" applyBorder="1">
      <alignment vertical="center"/>
    </xf>
    <xf numFmtId="49" fontId="45" fillId="0" borderId="4" xfId="623" applyNumberFormat="1" applyBorder="1" applyAlignment="1">
      <alignment horizontal="center" vertical="center"/>
    </xf>
    <xf numFmtId="41" fontId="45" fillId="0" borderId="0" xfId="623" applyNumberFormat="1">
      <alignment vertical="center"/>
    </xf>
    <xf numFmtId="0" fontId="45" fillId="0" borderId="0" xfId="623" applyAlignment="1">
      <alignment horizontal="left" vertical="center"/>
    </xf>
    <xf numFmtId="0" fontId="47" fillId="0" borderId="0" xfId="623" applyFont="1" applyFill="1">
      <alignment vertical="center"/>
    </xf>
    <xf numFmtId="49" fontId="67" fillId="0" borderId="4" xfId="623" applyNumberFormat="1" applyFont="1" applyFill="1" applyBorder="1">
      <alignment vertical="center"/>
    </xf>
    <xf numFmtId="0" fontId="68" fillId="35" borderId="4" xfId="623" applyFont="1" applyFill="1" applyBorder="1" applyAlignment="1">
      <alignment horizontal="center" vertical="center"/>
    </xf>
    <xf numFmtId="0" fontId="45" fillId="36" borderId="0" xfId="623" applyFill="1">
      <alignment vertical="center"/>
    </xf>
    <xf numFmtId="0" fontId="69" fillId="37" borderId="39" xfId="0" applyFont="1" applyFill="1" applyBorder="1" applyAlignment="1">
      <alignment horizontal="left" vertical="center" wrapText="1"/>
    </xf>
    <xf numFmtId="0" fontId="69" fillId="37" borderId="39" xfId="0" applyFont="1" applyFill="1" applyBorder="1" applyAlignment="1">
      <alignment horizontal="center"/>
    </xf>
    <xf numFmtId="0" fontId="69" fillId="37" borderId="39" xfId="0" applyFont="1" applyFill="1" applyBorder="1" applyAlignment="1">
      <alignment horizontal="center" wrapText="1"/>
    </xf>
    <xf numFmtId="0" fontId="69" fillId="37" borderId="40" xfId="0" applyFont="1" applyFill="1" applyBorder="1" applyAlignment="1">
      <alignment horizontal="center" wrapText="1"/>
    </xf>
    <xf numFmtId="0" fontId="69" fillId="37" borderId="41" xfId="0" applyFont="1" applyFill="1" applyBorder="1" applyAlignment="1">
      <alignment horizontal="left" vertical="center" wrapText="1"/>
    </xf>
    <xf numFmtId="0" fontId="69" fillId="37" borderId="41" xfId="0" applyFont="1" applyFill="1" applyBorder="1" applyAlignment="1">
      <alignment horizontal="center"/>
    </xf>
    <xf numFmtId="0" fontId="69" fillId="37" borderId="41" xfId="0" applyFont="1" applyFill="1" applyBorder="1" applyAlignment="1">
      <alignment horizontal="center" wrapText="1"/>
    </xf>
    <xf numFmtId="0" fontId="69" fillId="37" borderId="42" xfId="0" applyFont="1" applyFill="1" applyBorder="1" applyAlignment="1">
      <alignment horizontal="center" wrapText="1"/>
    </xf>
    <xf numFmtId="0" fontId="69" fillId="37" borderId="39" xfId="0" applyFont="1" applyFill="1" applyBorder="1" applyAlignment="1">
      <alignment horizontal="left" vertical="center" wrapText="1"/>
    </xf>
    <xf numFmtId="0" fontId="69" fillId="37" borderId="39" xfId="0" applyFont="1" applyFill="1" applyBorder="1" applyAlignment="1">
      <alignment horizontal="center"/>
    </xf>
    <xf numFmtId="0" fontId="69" fillId="37" borderId="39" xfId="0" applyFont="1" applyFill="1" applyBorder="1" applyAlignment="1">
      <alignment horizontal="center" wrapText="1"/>
    </xf>
    <xf numFmtId="0" fontId="69" fillId="37" borderId="40" xfId="0" applyFont="1" applyFill="1" applyBorder="1" applyAlignment="1">
      <alignment horizontal="center" wrapText="1"/>
    </xf>
    <xf numFmtId="0" fontId="69" fillId="37" borderId="41" xfId="0" applyFont="1" applyFill="1" applyBorder="1" applyAlignment="1">
      <alignment horizontal="left" vertical="center" wrapText="1"/>
    </xf>
    <xf numFmtId="0" fontId="69" fillId="37" borderId="41" xfId="0" applyFont="1" applyFill="1" applyBorder="1" applyAlignment="1">
      <alignment horizontal="center"/>
    </xf>
    <xf numFmtId="0" fontId="69" fillId="37" borderId="41" xfId="0" applyFont="1" applyFill="1" applyBorder="1" applyAlignment="1">
      <alignment horizontal="center" wrapText="1"/>
    </xf>
    <xf numFmtId="0" fontId="69" fillId="37" borderId="42" xfId="0" applyFont="1" applyFill="1" applyBorder="1" applyAlignment="1">
      <alignment horizontal="center" wrapText="1"/>
    </xf>
    <xf numFmtId="0" fontId="69" fillId="37" borderId="39" xfId="0" applyFont="1" applyFill="1" applyBorder="1" applyAlignment="1">
      <alignment horizontal="left" vertical="center" wrapText="1"/>
    </xf>
    <xf numFmtId="0" fontId="69" fillId="37" borderId="39" xfId="0" applyFont="1" applyFill="1" applyBorder="1" applyAlignment="1">
      <alignment horizontal="center"/>
    </xf>
    <xf numFmtId="0" fontId="69" fillId="37" borderId="41" xfId="0" applyFont="1" applyFill="1" applyBorder="1" applyAlignment="1">
      <alignment horizontal="left" vertical="center" wrapText="1"/>
    </xf>
    <xf numFmtId="0" fontId="69" fillId="37" borderId="41" xfId="0" applyFont="1" applyFill="1" applyBorder="1" applyAlignment="1">
      <alignment horizontal="center"/>
    </xf>
    <xf numFmtId="0" fontId="69" fillId="37" borderId="41" xfId="0" applyFont="1" applyFill="1" applyBorder="1" applyAlignment="1">
      <alignment horizontal="center" wrapText="1"/>
    </xf>
    <xf numFmtId="0" fontId="69" fillId="37" borderId="42" xfId="0" applyFont="1" applyFill="1" applyBorder="1" applyAlignment="1">
      <alignment horizontal="center" wrapText="1"/>
    </xf>
    <xf numFmtId="0" fontId="70" fillId="0" borderId="41" xfId="0" applyFont="1" applyBorder="1" applyAlignment="1">
      <alignment horizontal="left" vertical="center"/>
    </xf>
    <xf numFmtId="3" fontId="70" fillId="0" borderId="41" xfId="0" applyNumberFormat="1" applyFont="1" applyBorder="1" applyAlignment="1">
      <alignment horizontal="right" vertical="center"/>
    </xf>
    <xf numFmtId="3" fontId="70" fillId="0" borderId="42" xfId="0" applyNumberFormat="1" applyFont="1" applyBorder="1" applyAlignment="1">
      <alignment horizontal="right" vertical="center"/>
    </xf>
    <xf numFmtId="0" fontId="71" fillId="0" borderId="41" xfId="0" applyFont="1" applyBorder="1" applyAlignment="1">
      <alignment horizontal="left" vertical="center" wrapText="1"/>
    </xf>
    <xf numFmtId="0" fontId="40" fillId="0" borderId="41" xfId="0" applyFont="1" applyBorder="1" applyAlignment="1">
      <alignment horizontal="right" vertical="center"/>
    </xf>
    <xf numFmtId="3" fontId="40" fillId="0" borderId="41" xfId="0" applyNumberFormat="1" applyFont="1" applyBorder="1" applyAlignment="1">
      <alignment horizontal="right" vertical="center"/>
    </xf>
    <xf numFmtId="3" fontId="40" fillId="0" borderId="42" xfId="0" applyNumberFormat="1" applyFont="1" applyBorder="1" applyAlignment="1">
      <alignment horizontal="right" vertical="center"/>
    </xf>
    <xf numFmtId="0" fontId="40" fillId="0" borderId="42" xfId="0" applyFont="1" applyBorder="1" applyAlignment="1">
      <alignment horizontal="right" vertical="center"/>
    </xf>
    <xf numFmtId="49" fontId="67" fillId="0" borderId="5" xfId="623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10" fillId="0" borderId="0" xfId="0" applyFont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176" fontId="12" fillId="2" borderId="0" xfId="0" applyNumberFormat="1" applyFont="1" applyFill="1" applyBorder="1" applyAlignment="1">
      <alignment horizontal="right"/>
    </xf>
    <xf numFmtId="182" fontId="12" fillId="38" borderId="8" xfId="0" applyNumberFormat="1" applyFont="1" applyFill="1" applyBorder="1" applyAlignment="1">
      <alignment horizontal="right" wrapText="1"/>
    </xf>
    <xf numFmtId="0" fontId="15" fillId="2" borderId="9" xfId="0" applyFont="1" applyFill="1" applyBorder="1" applyAlignment="1">
      <alignment horizontal="center" vertical="top"/>
    </xf>
    <xf numFmtId="0" fontId="16" fillId="2" borderId="9" xfId="0" applyFont="1" applyFill="1" applyBorder="1" applyAlignment="1">
      <alignment horizontal="center" vertical="top"/>
    </xf>
    <xf numFmtId="178" fontId="72" fillId="2" borderId="9" xfId="0" applyNumberFormat="1" applyFont="1" applyFill="1" applyBorder="1" applyAlignment="1">
      <alignment horizontal="right" vertical="top"/>
    </xf>
    <xf numFmtId="182" fontId="18" fillId="38" borderId="9" xfId="0" applyNumberFormat="1" applyFont="1" applyFill="1" applyBorder="1" applyAlignment="1">
      <alignment horizontal="right" vertical="top" wrapText="1"/>
    </xf>
    <xf numFmtId="0" fontId="20" fillId="34" borderId="0" xfId="0" applyNumberFormat="1" applyFont="1" applyFill="1" applyBorder="1" applyAlignment="1">
      <alignment horizontal="left" vertical="center"/>
    </xf>
    <xf numFmtId="176" fontId="41" fillId="34" borderId="0" xfId="0" applyNumberFormat="1" applyFont="1" applyFill="1" applyBorder="1" applyAlignment="1">
      <alignment horizontal="right" vertical="center"/>
    </xf>
    <xf numFmtId="182" fontId="21" fillId="34" borderId="0" xfId="0" applyNumberFormat="1" applyFont="1" applyFill="1" applyBorder="1" applyAlignment="1">
      <alignment vertical="center"/>
    </xf>
    <xf numFmtId="0" fontId="20" fillId="0" borderId="0" xfId="0" applyNumberFormat="1" applyFont="1" applyBorder="1" applyAlignment="1">
      <alignment horizontal="left" vertical="center"/>
    </xf>
    <xf numFmtId="176" fontId="21" fillId="0" borderId="0" xfId="0" applyNumberFormat="1" applyFont="1" applyBorder="1" applyAlignment="1">
      <alignment horizontal="right" vertical="center"/>
    </xf>
    <xf numFmtId="179" fontId="21" fillId="0" borderId="0" xfId="0" applyNumberFormat="1" applyFont="1" applyBorder="1" applyAlignment="1">
      <alignment vertical="center"/>
    </xf>
    <xf numFmtId="179" fontId="21" fillId="0" borderId="10" xfId="0" applyNumberFormat="1" applyFont="1" applyBorder="1" applyAlignment="1">
      <alignment vertical="center"/>
    </xf>
    <xf numFmtId="0" fontId="20" fillId="34" borderId="11" xfId="0" applyNumberFormat="1" applyFont="1" applyFill="1" applyBorder="1" applyAlignment="1">
      <alignment horizontal="left" vertical="center"/>
    </xf>
    <xf numFmtId="176" fontId="41" fillId="34" borderId="11" xfId="0" applyNumberFormat="1" applyFont="1" applyFill="1" applyBorder="1" applyAlignment="1">
      <alignment horizontal="right" vertical="center"/>
    </xf>
    <xf numFmtId="176" fontId="73" fillId="34" borderId="11" xfId="0" applyNumberFormat="1" applyFont="1" applyFill="1" applyBorder="1" applyAlignment="1">
      <alignment horizontal="right" vertical="center"/>
    </xf>
    <xf numFmtId="179" fontId="21" fillId="34" borderId="11" xfId="0" applyNumberFormat="1" applyFont="1" applyFill="1" applyBorder="1" applyAlignment="1">
      <alignment vertical="center"/>
    </xf>
    <xf numFmtId="0" fontId="20" fillId="0" borderId="12" xfId="0" applyNumberFormat="1" applyFont="1" applyBorder="1" applyAlignment="1">
      <alignment horizontal="left" vertical="center"/>
    </xf>
    <xf numFmtId="179" fontId="21" fillId="0" borderId="12" xfId="0" applyNumberFormat="1" applyFont="1" applyBorder="1" applyAlignment="1">
      <alignment vertical="center"/>
    </xf>
    <xf numFmtId="0" fontId="21" fillId="34" borderId="8" xfId="0" applyFont="1" applyFill="1" applyBorder="1" applyAlignment="1">
      <alignment horizontal="left" vertical="center"/>
    </xf>
    <xf numFmtId="176" fontId="41" fillId="34" borderId="8" xfId="0" applyNumberFormat="1" applyFont="1" applyFill="1" applyBorder="1" applyAlignment="1">
      <alignment horizontal="right" vertical="center"/>
    </xf>
    <xf numFmtId="176" fontId="73" fillId="34" borderId="8" xfId="0" applyNumberFormat="1" applyFont="1" applyFill="1" applyBorder="1" applyAlignment="1">
      <alignment horizontal="right" vertical="center"/>
    </xf>
    <xf numFmtId="179" fontId="21" fillId="34" borderId="8" xfId="0" applyNumberFormat="1" applyFont="1" applyFill="1" applyBorder="1" applyAlignment="1">
      <alignment vertical="center"/>
    </xf>
    <xf numFmtId="0" fontId="63" fillId="0" borderId="12" xfId="0" applyNumberFormat="1" applyFont="1" applyBorder="1" applyAlignment="1">
      <alignment horizontal="left" vertical="center"/>
    </xf>
    <xf numFmtId="178" fontId="72" fillId="0" borderId="12" xfId="0" applyNumberFormat="1" applyFont="1" applyBorder="1" applyAlignment="1">
      <alignment horizontal="right" vertical="center"/>
    </xf>
    <xf numFmtId="179" fontId="63" fillId="0" borderId="12" xfId="0" applyNumberFormat="1" applyFont="1" applyBorder="1" applyAlignment="1">
      <alignment vertical="center"/>
    </xf>
    <xf numFmtId="0" fontId="20" fillId="34" borderId="2" xfId="0" applyNumberFormat="1" applyFont="1" applyFill="1" applyBorder="1" applyAlignment="1">
      <alignment horizontal="left" vertical="center"/>
    </xf>
    <xf numFmtId="176" fontId="41" fillId="34" borderId="2" xfId="0" applyNumberFormat="1" applyFont="1" applyFill="1" applyBorder="1" applyAlignment="1">
      <alignment horizontal="right" vertical="center"/>
    </xf>
    <xf numFmtId="179" fontId="21" fillId="34" borderId="2" xfId="0" applyNumberFormat="1" applyFont="1" applyFill="1" applyBorder="1" applyAlignment="1">
      <alignment vertical="center"/>
    </xf>
    <xf numFmtId="0" fontId="21" fillId="0" borderId="0" xfId="0" applyNumberFormat="1" applyFont="1" applyBorder="1" applyAlignment="1">
      <alignment horizontal="left" vertical="center"/>
    </xf>
    <xf numFmtId="0" fontId="21" fillId="0" borderId="12" xfId="0" applyNumberFormat="1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34" borderId="2" xfId="0" applyNumberFormat="1" applyFont="1" applyFill="1" applyBorder="1" applyAlignment="1">
      <alignment horizontal="left" vertical="center"/>
    </xf>
    <xf numFmtId="0" fontId="64" fillId="0" borderId="0" xfId="0" applyNumberFormat="1" applyFont="1" applyBorder="1" applyAlignment="1">
      <alignment horizontal="left" vertical="center"/>
    </xf>
    <xf numFmtId="176" fontId="64" fillId="0" borderId="0" xfId="0" applyNumberFormat="1" applyFont="1" applyBorder="1" applyAlignment="1">
      <alignment horizontal="right" vertical="center"/>
    </xf>
    <xf numFmtId="179" fontId="64" fillId="0" borderId="0" xfId="0" applyNumberFormat="1" applyFont="1" applyBorder="1" applyAlignment="1">
      <alignment vertical="center"/>
    </xf>
    <xf numFmtId="0" fontId="20" fillId="34" borderId="13" xfId="0" applyNumberFormat="1" applyFont="1" applyFill="1" applyBorder="1" applyAlignment="1">
      <alignment horizontal="left" vertical="center"/>
    </xf>
    <xf numFmtId="176" fontId="41" fillId="34" borderId="13" xfId="0" applyNumberFormat="1" applyFont="1" applyFill="1" applyBorder="1" applyAlignment="1">
      <alignment horizontal="right" vertical="center"/>
    </xf>
    <xf numFmtId="179" fontId="21" fillId="34" borderId="13" xfId="0" applyNumberFormat="1" applyFont="1" applyFill="1" applyBorder="1" applyAlignment="1">
      <alignment vertical="center"/>
    </xf>
    <xf numFmtId="0" fontId="22" fillId="0" borderId="0" xfId="0" applyFont="1" applyBorder="1" applyAlignment="1">
      <alignment vertical="center"/>
    </xf>
    <xf numFmtId="176" fontId="20" fillId="0" borderId="0" xfId="0" applyNumberFormat="1" applyFont="1" applyFill="1" applyBorder="1" applyAlignment="1">
      <alignment horizontal="right" vertical="center"/>
    </xf>
    <xf numFmtId="182" fontId="20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182" fontId="6" fillId="0" borderId="0" xfId="0" applyNumberFormat="1" applyFont="1" applyFill="1" applyBorder="1" applyAlignment="1">
      <alignment vertical="center"/>
    </xf>
    <xf numFmtId="182" fontId="6" fillId="0" borderId="0" xfId="0" applyNumberFormat="1" applyFont="1" applyBorder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horizontal="left" vertical="center"/>
    </xf>
    <xf numFmtId="182" fontId="6" fillId="0" borderId="0" xfId="0" applyNumberFormat="1" applyFont="1" applyFill="1" applyAlignment="1">
      <alignment vertical="center"/>
    </xf>
    <xf numFmtId="182" fontId="10" fillId="0" borderId="0" xfId="0" applyNumberFormat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6" fillId="0" borderId="0" xfId="0" applyFont="1" applyFill="1" applyAlignment="1">
      <alignment horizontal="left" vertical="center"/>
    </xf>
    <xf numFmtId="182" fontId="6" fillId="0" borderId="0" xfId="0" applyNumberFormat="1" applyFont="1" applyAlignment="1">
      <alignment vertical="center"/>
    </xf>
    <xf numFmtId="176" fontId="5" fillId="0" borderId="0" xfId="0" applyNumberFormat="1" applyFont="1" applyFill="1" applyBorder="1" applyAlignment="1" applyProtection="1">
      <alignment vertical="center"/>
    </xf>
    <xf numFmtId="176" fontId="8" fillId="0" borderId="0" xfId="0" applyNumberFormat="1" applyFont="1" applyFill="1" applyBorder="1" applyAlignment="1" applyProtection="1">
      <alignment horizontal="centerContinuous"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horizontal="right" vertical="center"/>
    </xf>
    <xf numFmtId="0" fontId="22" fillId="0" borderId="6" xfId="0" applyFont="1" applyBorder="1" applyAlignment="1">
      <alignment vertical="center"/>
    </xf>
    <xf numFmtId="0" fontId="42" fillId="0" borderId="7" xfId="0" applyFont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180" fontId="42" fillId="0" borderId="7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2" fillId="2" borderId="8" xfId="0" applyFont="1" applyFill="1" applyBorder="1" applyAlignment="1">
      <alignment horizontal="center"/>
    </xf>
    <xf numFmtId="0" fontId="22" fillId="2" borderId="0" xfId="0" applyFont="1" applyFill="1" applyBorder="1" applyAlignment="1">
      <alignment horizontal="center"/>
    </xf>
    <xf numFmtId="182" fontId="42" fillId="38" borderId="18" xfId="0" applyNumberFormat="1" applyFont="1" applyFill="1" applyBorder="1" applyAlignment="1">
      <alignment horizontal="right" wrapText="1"/>
    </xf>
    <xf numFmtId="180" fontId="42" fillId="2" borderId="0" xfId="0" applyNumberFormat="1" applyFont="1" applyFill="1" applyBorder="1" applyAlignment="1">
      <alignment horizontal="right"/>
    </xf>
    <xf numFmtId="182" fontId="42" fillId="38" borderId="8" xfId="0" applyNumberFormat="1" applyFont="1" applyFill="1" applyBorder="1" applyAlignment="1">
      <alignment horizontal="right" wrapText="1"/>
    </xf>
    <xf numFmtId="0" fontId="22" fillId="2" borderId="9" xfId="0" applyFont="1" applyFill="1" applyBorder="1" applyAlignment="1">
      <alignment horizontal="center" vertical="top"/>
    </xf>
    <xf numFmtId="182" fontId="72" fillId="38" borderId="19" xfId="0" applyNumberFormat="1" applyFont="1" applyFill="1" applyBorder="1" applyAlignment="1">
      <alignment horizontal="right" vertical="top" wrapText="1"/>
    </xf>
    <xf numFmtId="180" fontId="16" fillId="2" borderId="9" xfId="0" applyNumberFormat="1" applyFont="1" applyFill="1" applyBorder="1" applyAlignment="1">
      <alignment horizontal="right" vertical="top"/>
    </xf>
    <xf numFmtId="182" fontId="21" fillId="34" borderId="20" xfId="0" applyNumberFormat="1" applyFont="1" applyFill="1" applyBorder="1" applyAlignment="1">
      <alignment vertical="center"/>
    </xf>
    <xf numFmtId="180" fontId="41" fillId="34" borderId="0" xfId="0" applyNumberFormat="1" applyFont="1" applyFill="1" applyBorder="1" applyAlignment="1">
      <alignment horizontal="right" vertical="center"/>
    </xf>
    <xf numFmtId="179" fontId="21" fillId="0" borderId="20" xfId="0" applyNumberFormat="1" applyFont="1" applyBorder="1" applyAlignment="1">
      <alignment vertical="center"/>
    </xf>
    <xf numFmtId="180" fontId="21" fillId="0" borderId="0" xfId="0" applyNumberFormat="1" applyFont="1" applyBorder="1" applyAlignment="1">
      <alignment horizontal="right" vertical="center"/>
    </xf>
    <xf numFmtId="179" fontId="21" fillId="0" borderId="21" xfId="0" applyNumberFormat="1" applyFont="1" applyBorder="1" applyAlignment="1">
      <alignment vertical="center"/>
    </xf>
    <xf numFmtId="179" fontId="21" fillId="34" borderId="22" xfId="0" applyNumberFormat="1" applyFont="1" applyFill="1" applyBorder="1" applyAlignment="1">
      <alignment vertical="center"/>
    </xf>
    <xf numFmtId="180" fontId="41" fillId="34" borderId="11" xfId="0" applyNumberFormat="1" applyFont="1" applyFill="1" applyBorder="1" applyAlignment="1">
      <alignment horizontal="right" vertical="center"/>
    </xf>
    <xf numFmtId="180" fontId="73" fillId="34" borderId="11" xfId="0" applyNumberFormat="1" applyFont="1" applyFill="1" applyBorder="1" applyAlignment="1">
      <alignment horizontal="right" vertical="center"/>
    </xf>
    <xf numFmtId="179" fontId="21" fillId="0" borderId="23" xfId="0" applyNumberFormat="1" applyFont="1" applyBorder="1" applyAlignment="1">
      <alignment vertical="center"/>
    </xf>
    <xf numFmtId="179" fontId="21" fillId="34" borderId="18" xfId="0" applyNumberFormat="1" applyFont="1" applyFill="1" applyBorder="1" applyAlignment="1">
      <alignment vertical="center"/>
    </xf>
    <xf numFmtId="180" fontId="41" fillId="34" borderId="8" xfId="0" applyNumberFormat="1" applyFont="1" applyFill="1" applyBorder="1" applyAlignment="1">
      <alignment horizontal="right" vertical="center"/>
    </xf>
    <xf numFmtId="180" fontId="73" fillId="34" borderId="8" xfId="0" applyNumberFormat="1" applyFont="1" applyFill="1" applyBorder="1" applyAlignment="1">
      <alignment horizontal="right" vertical="center"/>
    </xf>
    <xf numFmtId="0" fontId="74" fillId="0" borderId="12" xfId="0" applyNumberFormat="1" applyFont="1" applyBorder="1" applyAlignment="1">
      <alignment horizontal="left" vertical="center"/>
    </xf>
    <xf numFmtId="0" fontId="75" fillId="0" borderId="12" xfId="0" applyNumberFormat="1" applyFont="1" applyBorder="1" applyAlignment="1">
      <alignment horizontal="left" vertical="center"/>
    </xf>
    <xf numFmtId="179" fontId="75" fillId="0" borderId="23" xfId="0" applyNumberFormat="1" applyFont="1" applyBorder="1" applyAlignment="1">
      <alignment vertical="center"/>
    </xf>
    <xf numFmtId="180" fontId="75" fillId="0" borderId="12" xfId="0" applyNumberFormat="1" applyFont="1" applyBorder="1" applyAlignment="1">
      <alignment horizontal="right" vertical="center"/>
    </xf>
    <xf numFmtId="179" fontId="75" fillId="0" borderId="12" xfId="0" applyNumberFormat="1" applyFont="1" applyBorder="1" applyAlignment="1">
      <alignment vertical="center"/>
    </xf>
    <xf numFmtId="179" fontId="21" fillId="34" borderId="24" xfId="0" applyNumberFormat="1" applyFont="1" applyFill="1" applyBorder="1" applyAlignment="1">
      <alignment vertical="center"/>
    </xf>
    <xf numFmtId="180" fontId="41" fillId="34" borderId="2" xfId="0" applyNumberFormat="1" applyFont="1" applyFill="1" applyBorder="1" applyAlignment="1">
      <alignment horizontal="right" vertical="center"/>
    </xf>
    <xf numFmtId="179" fontId="64" fillId="0" borderId="20" xfId="0" applyNumberFormat="1" applyFont="1" applyBorder="1" applyAlignment="1">
      <alignment vertical="center"/>
    </xf>
    <xf numFmtId="180" fontId="64" fillId="0" borderId="0" xfId="0" applyNumberFormat="1" applyFont="1" applyBorder="1" applyAlignment="1">
      <alignment horizontal="right" vertical="center"/>
    </xf>
    <xf numFmtId="179" fontId="21" fillId="34" borderId="14" xfId="0" applyNumberFormat="1" applyFont="1" applyFill="1" applyBorder="1" applyAlignment="1">
      <alignment vertical="center"/>
    </xf>
    <xf numFmtId="180" fontId="41" fillId="34" borderId="13" xfId="0" applyNumberFormat="1" applyFont="1" applyFill="1" applyBorder="1" applyAlignment="1">
      <alignment horizontal="right" vertical="center"/>
    </xf>
    <xf numFmtId="180" fontId="20" fillId="0" borderId="0" xfId="0" applyNumberFormat="1" applyFont="1" applyFill="1" applyBorder="1" applyAlignment="1">
      <alignment horizontal="right" vertical="center"/>
    </xf>
    <xf numFmtId="180" fontId="6" fillId="0" borderId="0" xfId="0" applyNumberFormat="1" applyFont="1" applyFill="1" applyBorder="1" applyAlignment="1">
      <alignment vertical="center"/>
    </xf>
    <xf numFmtId="180" fontId="6" fillId="0" borderId="0" xfId="0" applyNumberFormat="1" applyFont="1" applyBorder="1" applyAlignment="1">
      <alignment vertical="center"/>
    </xf>
    <xf numFmtId="180" fontId="6" fillId="0" borderId="0" xfId="0" applyNumberFormat="1" applyFont="1" applyFill="1" applyAlignment="1">
      <alignment vertical="center"/>
    </xf>
    <xf numFmtId="180" fontId="10" fillId="0" borderId="0" xfId="0" applyNumberFormat="1" applyFont="1" applyBorder="1" applyAlignment="1">
      <alignment vertical="center"/>
    </xf>
    <xf numFmtId="180" fontId="6" fillId="0" borderId="0" xfId="0" applyNumberFormat="1" applyFont="1" applyAlignment="1">
      <alignment vertical="center"/>
    </xf>
    <xf numFmtId="41" fontId="54" fillId="0" borderId="4" xfId="472" applyFont="1" applyBorder="1">
      <alignment vertical="center"/>
    </xf>
    <xf numFmtId="3" fontId="70" fillId="39" borderId="41" xfId="0" applyNumberFormat="1" applyFont="1" applyFill="1" applyBorder="1" applyAlignment="1">
      <alignment horizontal="right" vertical="center"/>
    </xf>
    <xf numFmtId="3" fontId="23" fillId="0" borderId="0" xfId="0" applyNumberFormat="1" applyFont="1" applyAlignment="1"/>
    <xf numFmtId="3" fontId="45" fillId="0" borderId="0" xfId="623" applyNumberFormat="1">
      <alignment vertical="center"/>
    </xf>
    <xf numFmtId="3" fontId="70" fillId="0" borderId="43" xfId="0" applyNumberFormat="1" applyFont="1" applyBorder="1" applyAlignment="1">
      <alignment horizontal="right" vertical="center"/>
    </xf>
    <xf numFmtId="0" fontId="40" fillId="0" borderId="43" xfId="0" applyFont="1" applyBorder="1" applyAlignment="1">
      <alignment horizontal="right" vertical="center"/>
    </xf>
    <xf numFmtId="3" fontId="40" fillId="0" borderId="43" xfId="0" applyNumberFormat="1" applyFont="1" applyBorder="1" applyAlignment="1">
      <alignment horizontal="right" vertical="center"/>
    </xf>
    <xf numFmtId="41" fontId="54" fillId="0" borderId="4" xfId="623" applyNumberFormat="1" applyFont="1" applyFill="1" applyBorder="1">
      <alignment vertical="center"/>
    </xf>
    <xf numFmtId="178" fontId="72" fillId="38" borderId="44" xfId="0" applyNumberFormat="1" applyFont="1" applyFill="1" applyBorder="1" applyAlignment="1">
      <alignment horizontal="right" vertical="top" wrapText="1"/>
    </xf>
    <xf numFmtId="178" fontId="72" fillId="0" borderId="45" xfId="0" applyNumberFormat="1" applyFont="1" applyBorder="1" applyAlignment="1">
      <alignment horizontal="right" vertical="center" wrapText="1"/>
    </xf>
    <xf numFmtId="176" fontId="76" fillId="38" borderId="0" xfId="0" applyNumberFormat="1" applyFont="1" applyFill="1" applyAlignment="1">
      <alignment horizontal="right" wrapText="1"/>
    </xf>
    <xf numFmtId="176" fontId="77" fillId="34" borderId="0" xfId="0" applyNumberFormat="1" applyFont="1" applyFill="1" applyAlignment="1">
      <alignment horizontal="right" vertical="center" wrapText="1"/>
    </xf>
    <xf numFmtId="176" fontId="78" fillId="0" borderId="0" xfId="0" applyNumberFormat="1" applyFont="1" applyAlignment="1">
      <alignment horizontal="right" vertical="center" wrapText="1"/>
    </xf>
    <xf numFmtId="176" fontId="77" fillId="34" borderId="46" xfId="0" applyNumberFormat="1" applyFont="1" applyFill="1" applyBorder="1" applyAlignment="1">
      <alignment horizontal="right" vertical="center" wrapText="1"/>
    </xf>
    <xf numFmtId="176" fontId="73" fillId="34" borderId="46" xfId="0" applyNumberFormat="1" applyFont="1" applyFill="1" applyBorder="1" applyAlignment="1">
      <alignment horizontal="right" vertical="center" wrapText="1"/>
    </xf>
    <xf numFmtId="176" fontId="77" fillId="34" borderId="47" xfId="0" applyNumberFormat="1" applyFont="1" applyFill="1" applyBorder="1" applyAlignment="1">
      <alignment horizontal="right" vertical="center" wrapText="1"/>
    </xf>
    <xf numFmtId="176" fontId="73" fillId="34" borderId="47" xfId="0" applyNumberFormat="1" applyFont="1" applyFill="1" applyBorder="1" applyAlignment="1">
      <alignment horizontal="right" vertical="center" wrapText="1"/>
    </xf>
    <xf numFmtId="176" fontId="77" fillId="34" borderId="48" xfId="0" applyNumberFormat="1" applyFont="1" applyFill="1" applyBorder="1" applyAlignment="1">
      <alignment horizontal="right" vertical="center" wrapText="1"/>
    </xf>
    <xf numFmtId="176" fontId="77" fillId="34" borderId="49" xfId="0" applyNumberFormat="1" applyFont="1" applyFill="1" applyBorder="1" applyAlignment="1">
      <alignment horizontal="right" vertical="center" wrapText="1"/>
    </xf>
    <xf numFmtId="0" fontId="71" fillId="0" borderId="50" xfId="0" applyFont="1" applyBorder="1" applyAlignment="1">
      <alignment vertical="center" wrapText="1"/>
    </xf>
    <xf numFmtId="0" fontId="71" fillId="0" borderId="42" xfId="0" applyFont="1" applyBorder="1" applyAlignment="1">
      <alignment vertical="center" wrapText="1"/>
    </xf>
    <xf numFmtId="0" fontId="0" fillId="0" borderId="0" xfId="0" applyFont="1" applyAlignment="1"/>
    <xf numFmtId="3" fontId="76" fillId="38" borderId="0" xfId="0" applyNumberFormat="1" applyFont="1" applyFill="1" applyAlignment="1">
      <alignment horizontal="right" wrapText="1"/>
    </xf>
    <xf numFmtId="0" fontId="77" fillId="34" borderId="0" xfId="0" applyFont="1" applyFill="1" applyAlignment="1">
      <alignment horizontal="right" vertical="center" wrapText="1"/>
    </xf>
    <xf numFmtId="0" fontId="78" fillId="0" borderId="0" xfId="0" applyFont="1" applyAlignment="1">
      <alignment horizontal="right" vertical="center" wrapText="1"/>
    </xf>
    <xf numFmtId="0" fontId="77" fillId="34" borderId="46" xfId="0" applyFont="1" applyFill="1" applyBorder="1" applyAlignment="1">
      <alignment horizontal="right" vertical="center" wrapText="1"/>
    </xf>
    <xf numFmtId="0" fontId="73" fillId="34" borderId="46" xfId="0" applyFont="1" applyFill="1" applyBorder="1" applyAlignment="1">
      <alignment horizontal="right" vertical="center" wrapText="1"/>
    </xf>
    <xf numFmtId="3" fontId="77" fillId="34" borderId="47" xfId="0" applyNumberFormat="1" applyFont="1" applyFill="1" applyBorder="1" applyAlignment="1">
      <alignment horizontal="right" vertical="center" wrapText="1"/>
    </xf>
    <xf numFmtId="3" fontId="73" fillId="34" borderId="47" xfId="0" applyNumberFormat="1" applyFont="1" applyFill="1" applyBorder="1" applyAlignment="1">
      <alignment horizontal="right" vertical="center" wrapText="1"/>
    </xf>
    <xf numFmtId="3" fontId="78" fillId="0" borderId="0" xfId="0" applyNumberFormat="1" applyFont="1" applyAlignment="1">
      <alignment horizontal="right" vertical="center" wrapText="1"/>
    </xf>
    <xf numFmtId="3" fontId="77" fillId="34" borderId="48" xfId="0" applyNumberFormat="1" applyFont="1" applyFill="1" applyBorder="1" applyAlignment="1">
      <alignment horizontal="right" vertical="center" wrapText="1"/>
    </xf>
    <xf numFmtId="0" fontId="77" fillId="34" borderId="48" xfId="0" applyFont="1" applyFill="1" applyBorder="1" applyAlignment="1">
      <alignment horizontal="right" vertical="center" wrapText="1"/>
    </xf>
    <xf numFmtId="0" fontId="77" fillId="34" borderId="47" xfId="0" applyFont="1" applyFill="1" applyBorder="1" applyAlignment="1">
      <alignment horizontal="right" vertical="center" wrapText="1"/>
    </xf>
    <xf numFmtId="0" fontId="73" fillId="34" borderId="47" xfId="0" applyFont="1" applyFill="1" applyBorder="1" applyAlignment="1">
      <alignment horizontal="right" vertical="center" wrapText="1"/>
    </xf>
    <xf numFmtId="3" fontId="77" fillId="34" borderId="49" xfId="0" applyNumberFormat="1" applyFont="1" applyFill="1" applyBorder="1" applyAlignment="1">
      <alignment horizontal="right" vertical="center" wrapText="1"/>
    </xf>
    <xf numFmtId="0" fontId="77" fillId="34" borderId="49" xfId="0" applyFont="1" applyFill="1" applyBorder="1" applyAlignment="1">
      <alignment horizontal="right" vertical="center" wrapText="1"/>
    </xf>
    <xf numFmtId="3" fontId="82" fillId="0" borderId="41" xfId="0" applyNumberFormat="1" applyFont="1" applyBorder="1" applyAlignment="1">
      <alignment horizontal="right" vertical="center"/>
    </xf>
    <xf numFmtId="3" fontId="82" fillId="0" borderId="42" xfId="0" applyNumberFormat="1" applyFont="1" applyBorder="1" applyAlignment="1">
      <alignment horizontal="right" vertical="center"/>
    </xf>
    <xf numFmtId="3" fontId="70" fillId="0" borderId="0" xfId="0" applyNumberFormat="1" applyFont="1" applyFill="1" applyBorder="1" applyAlignment="1">
      <alignment horizontal="right" vertical="center"/>
    </xf>
    <xf numFmtId="0" fontId="84" fillId="0" borderId="0" xfId="0" applyFont="1" applyAlignment="1"/>
    <xf numFmtId="0" fontId="84" fillId="0" borderId="0" xfId="0" applyFont="1" applyFill="1" applyBorder="1" applyAlignment="1"/>
    <xf numFmtId="3" fontId="84" fillId="0" borderId="0" xfId="0" applyNumberFormat="1" applyFont="1" applyAlignment="1"/>
    <xf numFmtId="0" fontId="77" fillId="34" borderId="0" xfId="633" applyFont="1" applyFill="1" applyAlignment="1">
      <alignment horizontal="right" vertical="center" wrapText="1"/>
    </xf>
    <xf numFmtId="0" fontId="78" fillId="0" borderId="0" xfId="633" applyFont="1" applyAlignment="1">
      <alignment horizontal="right" vertical="center" wrapText="1"/>
    </xf>
    <xf numFmtId="3" fontId="77" fillId="34" borderId="46" xfId="633" applyNumberFormat="1" applyFont="1" applyFill="1" applyBorder="1" applyAlignment="1">
      <alignment horizontal="right" vertical="center" wrapText="1"/>
    </xf>
    <xf numFmtId="0" fontId="73" fillId="34" borderId="46" xfId="633" applyFont="1" applyFill="1" applyBorder="1" applyAlignment="1">
      <alignment horizontal="right" vertical="center" wrapText="1"/>
    </xf>
    <xf numFmtId="3" fontId="73" fillId="34" borderId="46" xfId="633" applyNumberFormat="1" applyFont="1" applyFill="1" applyBorder="1" applyAlignment="1">
      <alignment horizontal="right" vertical="center" wrapText="1"/>
    </xf>
    <xf numFmtId="3" fontId="78" fillId="0" borderId="0" xfId="633" applyNumberFormat="1" applyFont="1" applyAlignment="1">
      <alignment horizontal="right" vertical="center" wrapText="1"/>
    </xf>
    <xf numFmtId="3" fontId="77" fillId="34" borderId="47" xfId="633" applyNumberFormat="1" applyFont="1" applyFill="1" applyBorder="1" applyAlignment="1">
      <alignment horizontal="right" vertical="center" wrapText="1"/>
    </xf>
    <xf numFmtId="3" fontId="73" fillId="34" borderId="47" xfId="633" applyNumberFormat="1" applyFont="1" applyFill="1" applyBorder="1" applyAlignment="1">
      <alignment horizontal="right" vertical="center" wrapText="1"/>
    </xf>
    <xf numFmtId="3" fontId="77" fillId="34" borderId="48" xfId="633" applyNumberFormat="1" applyFont="1" applyFill="1" applyBorder="1" applyAlignment="1">
      <alignment horizontal="right" vertical="center" wrapText="1"/>
    </xf>
    <xf numFmtId="0" fontId="77" fillId="34" borderId="48" xfId="633" applyFont="1" applyFill="1" applyBorder="1" applyAlignment="1">
      <alignment horizontal="right" vertical="center" wrapText="1"/>
    </xf>
    <xf numFmtId="0" fontId="77" fillId="34" borderId="47" xfId="633" applyFont="1" applyFill="1" applyBorder="1" applyAlignment="1">
      <alignment horizontal="right" vertical="center" wrapText="1"/>
    </xf>
    <xf numFmtId="0" fontId="73" fillId="34" borderId="47" xfId="633" applyFont="1" applyFill="1" applyBorder="1" applyAlignment="1">
      <alignment horizontal="right" vertical="center" wrapText="1"/>
    </xf>
    <xf numFmtId="3" fontId="77" fillId="34" borderId="49" xfId="633" applyNumberFormat="1" applyFont="1" applyFill="1" applyBorder="1" applyAlignment="1">
      <alignment horizontal="right" vertical="center" wrapText="1"/>
    </xf>
    <xf numFmtId="0" fontId="77" fillId="34" borderId="49" xfId="633" applyFont="1" applyFill="1" applyBorder="1" applyAlignment="1">
      <alignment horizontal="right" vertical="center" wrapText="1"/>
    </xf>
    <xf numFmtId="0" fontId="77" fillId="34" borderId="46" xfId="633" applyFont="1" applyFill="1" applyBorder="1" applyAlignment="1">
      <alignment horizontal="right" vertical="center" wrapText="1"/>
    </xf>
    <xf numFmtId="3" fontId="0" fillId="0" borderId="0" xfId="0" applyNumberFormat="1" applyFont="1" applyAlignment="1"/>
    <xf numFmtId="3" fontId="77" fillId="34" borderId="45" xfId="633" applyNumberFormat="1" applyFont="1" applyFill="1" applyBorder="1" applyAlignment="1">
      <alignment horizontal="right" vertical="center" wrapText="1"/>
    </xf>
    <xf numFmtId="178" fontId="72" fillId="0" borderId="12" xfId="0" applyNumberFormat="1" applyFont="1" applyFill="1" applyBorder="1" applyAlignment="1">
      <alignment horizontal="right" vertical="top" wrapText="1"/>
    </xf>
    <xf numFmtId="176" fontId="5" fillId="0" borderId="0" xfId="0" applyNumberFormat="1" applyFont="1" applyFill="1" applyAlignment="1" applyProtection="1">
      <alignment horizontal="center" vertical="center"/>
    </xf>
    <xf numFmtId="177" fontId="8" fillId="0" borderId="0" xfId="0" applyNumberFormat="1" applyFont="1" applyFill="1" applyAlignment="1" applyProtection="1">
      <alignment horizontal="center" vertical="center"/>
    </xf>
    <xf numFmtId="176" fontId="5" fillId="0" borderId="0" xfId="0" applyNumberFormat="1" applyFont="1" applyFill="1" applyBorder="1" applyAlignment="1" applyProtection="1">
      <alignment horizontal="center" vertical="center"/>
    </xf>
    <xf numFmtId="180" fontId="10" fillId="0" borderId="15" xfId="0" applyNumberFormat="1" applyFont="1" applyBorder="1" applyAlignment="1">
      <alignment horizontal="right" vertical="center"/>
    </xf>
    <xf numFmtId="0" fontId="10" fillId="0" borderId="25" xfId="0" applyFont="1" applyBorder="1" applyAlignment="1">
      <alignment horizontal="right" vertical="center"/>
    </xf>
    <xf numFmtId="0" fontId="10" fillId="0" borderId="13" xfId="0" applyFont="1" applyBorder="1" applyAlignment="1">
      <alignment horizontal="right" vertical="center"/>
    </xf>
    <xf numFmtId="177" fontId="8" fillId="0" borderId="0" xfId="0" applyNumberFormat="1" applyFont="1" applyFill="1" applyBorder="1" applyAlignment="1" applyProtection="1">
      <alignment horizontal="center" vertical="center"/>
    </xf>
    <xf numFmtId="177" fontId="8" fillId="0" borderId="20" xfId="0" applyNumberFormat="1" applyFont="1" applyFill="1" applyBorder="1" applyAlignment="1" applyProtection="1">
      <alignment horizontal="center" vertical="center"/>
    </xf>
    <xf numFmtId="177" fontId="8" fillId="0" borderId="15" xfId="0" applyNumberFormat="1" applyFont="1" applyFill="1" applyBorder="1" applyAlignment="1" applyProtection="1">
      <alignment horizontal="center" vertical="center"/>
    </xf>
    <xf numFmtId="177" fontId="8" fillId="0" borderId="26" xfId="0" applyNumberFormat="1" applyFont="1" applyFill="1" applyBorder="1" applyAlignment="1" applyProtection="1">
      <alignment horizontal="center" vertical="center"/>
    </xf>
    <xf numFmtId="180" fontId="8" fillId="0" borderId="0" xfId="0" applyNumberFormat="1" applyFont="1" applyFill="1" applyBorder="1" applyAlignment="1" applyProtection="1">
      <alignment horizontal="center" vertical="center"/>
    </xf>
    <xf numFmtId="177" fontId="8" fillId="0" borderId="27" xfId="0" applyNumberFormat="1" applyFont="1" applyFill="1" applyBorder="1" applyAlignment="1" applyProtection="1">
      <alignment horizontal="center" vertical="center"/>
    </xf>
    <xf numFmtId="177" fontId="8" fillId="0" borderId="2" xfId="0" applyNumberFormat="1" applyFont="1" applyFill="1" applyBorder="1" applyAlignment="1" applyProtection="1">
      <alignment horizontal="center" vertical="center"/>
    </xf>
    <xf numFmtId="177" fontId="8" fillId="0" borderId="24" xfId="0" applyNumberFormat="1" applyFont="1" applyFill="1" applyBorder="1" applyAlignment="1" applyProtection="1">
      <alignment horizontal="center" vertical="center"/>
    </xf>
    <xf numFmtId="0" fontId="79" fillId="0" borderId="0" xfId="623" applyFont="1" applyAlignment="1">
      <alignment horizontal="center" vertical="center"/>
    </xf>
    <xf numFmtId="0" fontId="68" fillId="35" borderId="4" xfId="623" applyFont="1" applyFill="1" applyBorder="1" applyAlignment="1">
      <alignment horizontal="center" vertical="center"/>
    </xf>
    <xf numFmtId="0" fontId="80" fillId="35" borderId="4" xfId="623" applyFont="1" applyFill="1" applyBorder="1" applyAlignment="1">
      <alignment horizontal="center" vertical="center"/>
    </xf>
    <xf numFmtId="0" fontId="81" fillId="35" borderId="4" xfId="623" applyFont="1" applyFill="1" applyBorder="1" applyAlignment="1">
      <alignment horizontal="center" vertical="center"/>
    </xf>
    <xf numFmtId="49" fontId="45" fillId="0" borderId="5" xfId="623" applyNumberFormat="1" applyBorder="1" applyAlignment="1">
      <alignment horizontal="center" vertical="center"/>
    </xf>
    <xf numFmtId="49" fontId="45" fillId="0" borderId="28" xfId="623" applyNumberFormat="1" applyBorder="1" applyAlignment="1">
      <alignment horizontal="center" vertical="center"/>
    </xf>
    <xf numFmtId="49" fontId="45" fillId="0" borderId="29" xfId="623" applyNumberFormat="1" applyBorder="1" applyAlignment="1">
      <alignment horizontal="center" vertical="center"/>
    </xf>
    <xf numFmtId="0" fontId="54" fillId="0" borderId="4" xfId="623" applyFont="1" applyBorder="1" applyAlignment="1">
      <alignment horizontal="center" vertical="center"/>
    </xf>
    <xf numFmtId="49" fontId="45" fillId="0" borderId="5" xfId="623" applyNumberFormat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39" fillId="0" borderId="0" xfId="0" applyFont="1" applyAlignment="1">
      <alignment wrapText="1"/>
    </xf>
    <xf numFmtId="0" fontId="71" fillId="0" borderId="51" xfId="0" applyFont="1" applyBorder="1" applyAlignment="1">
      <alignment horizontal="left" vertical="center" wrapText="1"/>
    </xf>
    <xf numFmtId="0" fontId="71" fillId="0" borderId="50" xfId="0" applyFont="1" applyBorder="1" applyAlignment="1">
      <alignment horizontal="left" vertical="center" wrapText="1"/>
    </xf>
    <xf numFmtId="0" fontId="71" fillId="0" borderId="42" xfId="0" applyFont="1" applyBorder="1" applyAlignment="1">
      <alignment horizontal="left" vertical="center" wrapText="1"/>
    </xf>
    <xf numFmtId="0" fontId="38" fillId="0" borderId="0" xfId="0" applyFont="1" applyAlignment="1"/>
    <xf numFmtId="0" fontId="69" fillId="37" borderId="51" xfId="0" applyFont="1" applyFill="1" applyBorder="1" applyAlignment="1">
      <alignment horizontal="left" vertical="center" wrapText="1"/>
    </xf>
    <xf numFmtId="0" fontId="69" fillId="37" borderId="50" xfId="0" applyFont="1" applyFill="1" applyBorder="1" applyAlignment="1">
      <alignment horizontal="left" vertical="center" wrapText="1"/>
    </xf>
    <xf numFmtId="0" fontId="69" fillId="37" borderId="42" xfId="0" applyFont="1" applyFill="1" applyBorder="1" applyAlignment="1">
      <alignment horizontal="left" vertical="center" wrapText="1"/>
    </xf>
    <xf numFmtId="0" fontId="69" fillId="37" borderId="39" xfId="0" applyFont="1" applyFill="1" applyBorder="1" applyAlignment="1">
      <alignment horizontal="center" wrapText="1"/>
    </xf>
    <xf numFmtId="0" fontId="69" fillId="37" borderId="52" xfId="0" applyFont="1" applyFill="1" applyBorder="1" applyAlignment="1">
      <alignment horizontal="center" wrapText="1"/>
    </xf>
    <xf numFmtId="0" fontId="71" fillId="0" borderId="50" xfId="0" applyFont="1" applyBorder="1" applyAlignment="1">
      <alignment horizontal="center" vertical="center" wrapText="1"/>
    </xf>
    <xf numFmtId="0" fontId="71" fillId="0" borderId="51" xfId="0" applyFont="1" applyBorder="1" applyAlignment="1">
      <alignment horizontal="center" vertical="center" wrapText="1"/>
    </xf>
    <xf numFmtId="0" fontId="69" fillId="37" borderId="53" xfId="0" applyFont="1" applyFill="1" applyBorder="1" applyAlignment="1">
      <alignment horizontal="center" wrapText="1"/>
    </xf>
    <xf numFmtId="0" fontId="70" fillId="0" borderId="54" xfId="0" applyFont="1" applyBorder="1" applyAlignment="1">
      <alignment horizontal="center" vertical="center"/>
    </xf>
    <xf numFmtId="0" fontId="70" fillId="0" borderId="55" xfId="0" applyFont="1" applyBorder="1" applyAlignment="1">
      <alignment horizontal="center" vertical="center"/>
    </xf>
  </cellXfs>
  <cellStyles count="636">
    <cellStyle name="20% - 강조색1 10" xfId="1"/>
    <cellStyle name="20% - 강조색1 11" xfId="2"/>
    <cellStyle name="20% - 강조색1 12" xfId="3"/>
    <cellStyle name="20% - 강조색1 13" xfId="4"/>
    <cellStyle name="20% - 강조색1 14" xfId="5"/>
    <cellStyle name="20% - 강조색1 15" xfId="6"/>
    <cellStyle name="20% - 강조색1 2" xfId="7"/>
    <cellStyle name="20% - 강조색1 3" xfId="8"/>
    <cellStyle name="20% - 강조색1 4" xfId="9"/>
    <cellStyle name="20% - 강조색1 5" xfId="10"/>
    <cellStyle name="20% - 강조색1 6" xfId="11"/>
    <cellStyle name="20% - 강조색1 7" xfId="12"/>
    <cellStyle name="20% - 강조색1 8" xfId="13"/>
    <cellStyle name="20% - 강조색1 9" xfId="14"/>
    <cellStyle name="20% - 강조색2 10" xfId="15"/>
    <cellStyle name="20% - 강조색2 11" xfId="16"/>
    <cellStyle name="20% - 강조색2 12" xfId="17"/>
    <cellStyle name="20% - 강조색2 13" xfId="18"/>
    <cellStyle name="20% - 강조색2 14" xfId="19"/>
    <cellStyle name="20% - 강조색2 15" xfId="20"/>
    <cellStyle name="20% - 강조색2 2" xfId="21"/>
    <cellStyle name="20% - 강조색2 3" xfId="22"/>
    <cellStyle name="20% - 강조색2 4" xfId="23"/>
    <cellStyle name="20% - 강조색2 5" xfId="24"/>
    <cellStyle name="20% - 강조색2 6" xfId="25"/>
    <cellStyle name="20% - 강조색2 7" xfId="26"/>
    <cellStyle name="20% - 강조색2 8" xfId="27"/>
    <cellStyle name="20% - 강조색2 9" xfId="28"/>
    <cellStyle name="20% - 강조색3 10" xfId="29"/>
    <cellStyle name="20% - 강조색3 11" xfId="30"/>
    <cellStyle name="20% - 강조색3 12" xfId="31"/>
    <cellStyle name="20% - 강조색3 13" xfId="32"/>
    <cellStyle name="20% - 강조색3 14" xfId="33"/>
    <cellStyle name="20% - 강조색3 15" xfId="34"/>
    <cellStyle name="20% - 강조색3 2" xfId="35"/>
    <cellStyle name="20% - 강조색3 3" xfId="36"/>
    <cellStyle name="20% - 강조색3 4" xfId="37"/>
    <cellStyle name="20% - 강조색3 5" xfId="38"/>
    <cellStyle name="20% - 강조색3 6" xfId="39"/>
    <cellStyle name="20% - 강조색3 7" xfId="40"/>
    <cellStyle name="20% - 강조색3 8" xfId="41"/>
    <cellStyle name="20% - 강조색3 9" xfId="42"/>
    <cellStyle name="20% - 강조색4 10" xfId="43"/>
    <cellStyle name="20% - 강조색4 11" xfId="44"/>
    <cellStyle name="20% - 강조색4 12" xfId="45"/>
    <cellStyle name="20% - 강조색4 13" xfId="46"/>
    <cellStyle name="20% - 강조색4 14" xfId="47"/>
    <cellStyle name="20% - 강조색4 15" xfId="48"/>
    <cellStyle name="20% - 강조색4 2" xfId="49"/>
    <cellStyle name="20% - 강조색4 3" xfId="50"/>
    <cellStyle name="20% - 강조색4 4" xfId="51"/>
    <cellStyle name="20% - 강조색4 5" xfId="52"/>
    <cellStyle name="20% - 강조색4 6" xfId="53"/>
    <cellStyle name="20% - 강조색4 7" xfId="54"/>
    <cellStyle name="20% - 강조색4 8" xfId="55"/>
    <cellStyle name="20% - 강조색4 9" xfId="56"/>
    <cellStyle name="20% - 강조색5 10" xfId="57"/>
    <cellStyle name="20% - 강조색5 11" xfId="58"/>
    <cellStyle name="20% - 강조색5 12" xfId="59"/>
    <cellStyle name="20% - 강조색5 13" xfId="60"/>
    <cellStyle name="20% - 강조색5 14" xfId="61"/>
    <cellStyle name="20% - 강조색5 15" xfId="62"/>
    <cellStyle name="20% - 강조색5 2" xfId="63"/>
    <cellStyle name="20% - 강조색5 3" xfId="64"/>
    <cellStyle name="20% - 강조색5 4" xfId="65"/>
    <cellStyle name="20% - 강조색5 5" xfId="66"/>
    <cellStyle name="20% - 강조색5 6" xfId="67"/>
    <cellStyle name="20% - 강조색5 7" xfId="68"/>
    <cellStyle name="20% - 강조색5 8" xfId="69"/>
    <cellStyle name="20% - 강조색5 9" xfId="70"/>
    <cellStyle name="20% - 강조색6 10" xfId="71"/>
    <cellStyle name="20% - 강조색6 11" xfId="72"/>
    <cellStyle name="20% - 강조색6 12" xfId="73"/>
    <cellStyle name="20% - 강조색6 13" xfId="74"/>
    <cellStyle name="20% - 강조색6 14" xfId="75"/>
    <cellStyle name="20% - 강조색6 15" xfId="76"/>
    <cellStyle name="20% - 강조색6 2" xfId="77"/>
    <cellStyle name="20% - 강조색6 3" xfId="78"/>
    <cellStyle name="20% - 강조색6 4" xfId="79"/>
    <cellStyle name="20% - 강조색6 5" xfId="80"/>
    <cellStyle name="20% - 강조색6 6" xfId="81"/>
    <cellStyle name="20% - 강조색6 7" xfId="82"/>
    <cellStyle name="20% - 강조색6 8" xfId="83"/>
    <cellStyle name="20% - 강조색6 9" xfId="84"/>
    <cellStyle name="40% - 강조색1 10" xfId="85"/>
    <cellStyle name="40% - 강조색1 11" xfId="86"/>
    <cellStyle name="40% - 강조색1 12" xfId="87"/>
    <cellStyle name="40% - 강조색1 13" xfId="88"/>
    <cellStyle name="40% - 강조색1 14" xfId="89"/>
    <cellStyle name="40% - 강조색1 15" xfId="90"/>
    <cellStyle name="40% - 강조색1 2" xfId="91"/>
    <cellStyle name="40% - 강조색1 3" xfId="92"/>
    <cellStyle name="40% - 강조색1 4" xfId="93"/>
    <cellStyle name="40% - 강조색1 5" xfId="94"/>
    <cellStyle name="40% - 강조색1 6" xfId="95"/>
    <cellStyle name="40% - 강조색1 7" xfId="96"/>
    <cellStyle name="40% - 강조색1 8" xfId="97"/>
    <cellStyle name="40% - 강조색1 9" xfId="98"/>
    <cellStyle name="40% - 강조색2 10" xfId="99"/>
    <cellStyle name="40% - 강조색2 11" xfId="100"/>
    <cellStyle name="40% - 강조색2 12" xfId="101"/>
    <cellStyle name="40% - 강조색2 13" xfId="102"/>
    <cellStyle name="40% - 강조색2 14" xfId="103"/>
    <cellStyle name="40% - 강조색2 15" xfId="104"/>
    <cellStyle name="40% - 강조색2 2" xfId="105"/>
    <cellStyle name="40% - 강조색2 3" xfId="106"/>
    <cellStyle name="40% - 강조색2 4" xfId="107"/>
    <cellStyle name="40% - 강조색2 5" xfId="108"/>
    <cellStyle name="40% - 강조색2 6" xfId="109"/>
    <cellStyle name="40% - 강조색2 7" xfId="110"/>
    <cellStyle name="40% - 강조색2 8" xfId="111"/>
    <cellStyle name="40% - 강조색2 9" xfId="112"/>
    <cellStyle name="40% - 강조색3 10" xfId="113"/>
    <cellStyle name="40% - 강조색3 11" xfId="114"/>
    <cellStyle name="40% - 강조색3 12" xfId="115"/>
    <cellStyle name="40% - 강조색3 13" xfId="116"/>
    <cellStyle name="40% - 강조색3 14" xfId="117"/>
    <cellStyle name="40% - 강조색3 15" xfId="118"/>
    <cellStyle name="40% - 강조색3 2" xfId="119"/>
    <cellStyle name="40% - 강조색3 3" xfId="120"/>
    <cellStyle name="40% - 강조색3 4" xfId="121"/>
    <cellStyle name="40% - 강조색3 5" xfId="122"/>
    <cellStyle name="40% - 강조색3 6" xfId="123"/>
    <cellStyle name="40% - 강조색3 7" xfId="124"/>
    <cellStyle name="40% - 강조색3 8" xfId="125"/>
    <cellStyle name="40% - 강조색3 9" xfId="126"/>
    <cellStyle name="40% - 강조색4 10" xfId="127"/>
    <cellStyle name="40% - 강조색4 11" xfId="128"/>
    <cellStyle name="40% - 강조색4 12" xfId="129"/>
    <cellStyle name="40% - 강조색4 13" xfId="130"/>
    <cellStyle name="40% - 강조색4 14" xfId="131"/>
    <cellStyle name="40% - 강조색4 15" xfId="132"/>
    <cellStyle name="40% - 강조색4 2" xfId="133"/>
    <cellStyle name="40% - 강조색4 3" xfId="134"/>
    <cellStyle name="40% - 강조색4 4" xfId="135"/>
    <cellStyle name="40% - 강조색4 5" xfId="136"/>
    <cellStyle name="40% - 강조색4 6" xfId="137"/>
    <cellStyle name="40% - 강조색4 7" xfId="138"/>
    <cellStyle name="40% - 강조색4 8" xfId="139"/>
    <cellStyle name="40% - 강조색4 9" xfId="140"/>
    <cellStyle name="40% - 강조색5 10" xfId="141"/>
    <cellStyle name="40% - 강조색5 11" xfId="142"/>
    <cellStyle name="40% - 강조색5 12" xfId="143"/>
    <cellStyle name="40% - 강조색5 13" xfId="144"/>
    <cellStyle name="40% - 강조색5 14" xfId="145"/>
    <cellStyle name="40% - 강조색5 15" xfId="146"/>
    <cellStyle name="40% - 강조색5 2" xfId="147"/>
    <cellStyle name="40% - 강조색5 3" xfId="148"/>
    <cellStyle name="40% - 강조색5 4" xfId="149"/>
    <cellStyle name="40% - 강조색5 5" xfId="150"/>
    <cellStyle name="40% - 강조색5 6" xfId="151"/>
    <cellStyle name="40% - 강조색5 7" xfId="152"/>
    <cellStyle name="40% - 강조색5 8" xfId="153"/>
    <cellStyle name="40% - 강조색5 9" xfId="154"/>
    <cellStyle name="40% - 강조색6 10" xfId="155"/>
    <cellStyle name="40% - 강조색6 11" xfId="156"/>
    <cellStyle name="40% - 강조색6 12" xfId="157"/>
    <cellStyle name="40% - 강조색6 13" xfId="158"/>
    <cellStyle name="40% - 강조색6 14" xfId="159"/>
    <cellStyle name="40% - 강조색6 15" xfId="160"/>
    <cellStyle name="40% - 강조색6 2" xfId="161"/>
    <cellStyle name="40% - 강조색6 3" xfId="162"/>
    <cellStyle name="40% - 강조색6 4" xfId="163"/>
    <cellStyle name="40% - 강조색6 5" xfId="164"/>
    <cellStyle name="40% - 강조색6 6" xfId="165"/>
    <cellStyle name="40% - 강조색6 7" xfId="166"/>
    <cellStyle name="40% - 강조색6 8" xfId="167"/>
    <cellStyle name="40% - 강조색6 9" xfId="168"/>
    <cellStyle name="60% - 강조색1 10" xfId="169"/>
    <cellStyle name="60% - 강조색1 11" xfId="170"/>
    <cellStyle name="60% - 강조색1 12" xfId="171"/>
    <cellStyle name="60% - 강조색1 13" xfId="172"/>
    <cellStyle name="60% - 강조색1 14" xfId="173"/>
    <cellStyle name="60% - 강조색1 15" xfId="174"/>
    <cellStyle name="60% - 강조색1 2" xfId="175"/>
    <cellStyle name="60% - 강조색1 3" xfId="176"/>
    <cellStyle name="60% - 강조색1 4" xfId="177"/>
    <cellStyle name="60% - 강조색1 5" xfId="178"/>
    <cellStyle name="60% - 강조색1 6" xfId="179"/>
    <cellStyle name="60% - 강조색1 7" xfId="180"/>
    <cellStyle name="60% - 강조색1 8" xfId="181"/>
    <cellStyle name="60% - 강조색1 9" xfId="182"/>
    <cellStyle name="60% - 강조색2 10" xfId="183"/>
    <cellStyle name="60% - 강조색2 11" xfId="184"/>
    <cellStyle name="60% - 강조색2 12" xfId="185"/>
    <cellStyle name="60% - 강조색2 13" xfId="186"/>
    <cellStyle name="60% - 강조색2 14" xfId="187"/>
    <cellStyle name="60% - 강조색2 15" xfId="188"/>
    <cellStyle name="60% - 강조색2 2" xfId="189"/>
    <cellStyle name="60% - 강조색2 3" xfId="190"/>
    <cellStyle name="60% - 강조색2 4" xfId="191"/>
    <cellStyle name="60% - 강조색2 5" xfId="192"/>
    <cellStyle name="60% - 강조색2 6" xfId="193"/>
    <cellStyle name="60% - 강조색2 7" xfId="194"/>
    <cellStyle name="60% - 강조색2 8" xfId="195"/>
    <cellStyle name="60% - 강조색2 9" xfId="196"/>
    <cellStyle name="60% - 강조색3 10" xfId="197"/>
    <cellStyle name="60% - 강조색3 11" xfId="198"/>
    <cellStyle name="60% - 강조색3 12" xfId="199"/>
    <cellStyle name="60% - 강조색3 13" xfId="200"/>
    <cellStyle name="60% - 강조색3 14" xfId="201"/>
    <cellStyle name="60% - 강조색3 15" xfId="202"/>
    <cellStyle name="60% - 강조색3 2" xfId="203"/>
    <cellStyle name="60% - 강조색3 3" xfId="204"/>
    <cellStyle name="60% - 강조색3 4" xfId="205"/>
    <cellStyle name="60% - 강조색3 5" xfId="206"/>
    <cellStyle name="60% - 강조색3 6" xfId="207"/>
    <cellStyle name="60% - 강조색3 7" xfId="208"/>
    <cellStyle name="60% - 강조색3 8" xfId="209"/>
    <cellStyle name="60% - 강조색3 9" xfId="210"/>
    <cellStyle name="60% - 강조색4 10" xfId="211"/>
    <cellStyle name="60% - 강조색4 11" xfId="212"/>
    <cellStyle name="60% - 강조색4 12" xfId="213"/>
    <cellStyle name="60% - 강조색4 13" xfId="214"/>
    <cellStyle name="60% - 강조색4 14" xfId="215"/>
    <cellStyle name="60% - 강조색4 15" xfId="216"/>
    <cellStyle name="60% - 강조색4 2" xfId="217"/>
    <cellStyle name="60% - 강조색4 3" xfId="218"/>
    <cellStyle name="60% - 강조색4 4" xfId="219"/>
    <cellStyle name="60% - 강조색4 5" xfId="220"/>
    <cellStyle name="60% - 강조색4 6" xfId="221"/>
    <cellStyle name="60% - 강조색4 7" xfId="222"/>
    <cellStyle name="60% - 강조색4 8" xfId="223"/>
    <cellStyle name="60% - 강조색4 9" xfId="224"/>
    <cellStyle name="60% - 강조색5 10" xfId="225"/>
    <cellStyle name="60% - 강조색5 11" xfId="226"/>
    <cellStyle name="60% - 강조색5 12" xfId="227"/>
    <cellStyle name="60% - 강조색5 13" xfId="228"/>
    <cellStyle name="60% - 강조색5 14" xfId="229"/>
    <cellStyle name="60% - 강조색5 15" xfId="230"/>
    <cellStyle name="60% - 강조색5 2" xfId="231"/>
    <cellStyle name="60% - 강조색5 3" xfId="232"/>
    <cellStyle name="60% - 강조색5 4" xfId="233"/>
    <cellStyle name="60% - 강조색5 5" xfId="234"/>
    <cellStyle name="60% - 강조색5 6" xfId="235"/>
    <cellStyle name="60% - 강조색5 7" xfId="236"/>
    <cellStyle name="60% - 강조색5 8" xfId="237"/>
    <cellStyle name="60% - 강조색5 9" xfId="238"/>
    <cellStyle name="60% - 강조색6 10" xfId="239"/>
    <cellStyle name="60% - 강조색6 11" xfId="240"/>
    <cellStyle name="60% - 강조색6 12" xfId="241"/>
    <cellStyle name="60% - 강조색6 13" xfId="242"/>
    <cellStyle name="60% - 강조색6 14" xfId="243"/>
    <cellStyle name="60% - 강조색6 15" xfId="244"/>
    <cellStyle name="60% - 강조색6 2" xfId="245"/>
    <cellStyle name="60% - 강조색6 3" xfId="246"/>
    <cellStyle name="60% - 강조색6 4" xfId="247"/>
    <cellStyle name="60% - 강조색6 5" xfId="248"/>
    <cellStyle name="60% - 강조색6 6" xfId="249"/>
    <cellStyle name="60% - 강조색6 7" xfId="250"/>
    <cellStyle name="60% - 강조색6 8" xfId="251"/>
    <cellStyle name="60% - 강조색6 9" xfId="252"/>
    <cellStyle name="A¨­￠￢￠O [0]_INQUIRY ￠?￥i¨u¡AAⓒ￢Aⓒª " xfId="253"/>
    <cellStyle name="A¨­￠￢￠O_INQUIRY ￠?￥i¨u¡AAⓒ￢Aⓒª " xfId="254"/>
    <cellStyle name="AeE­ [0]_AMT " xfId="255"/>
    <cellStyle name="AeE­_AMT " xfId="256"/>
    <cellStyle name="AeE¡ⓒ [0]_INQUIRY ￠?￥i¨u¡AAⓒ￢Aⓒª " xfId="257"/>
    <cellStyle name="AeE¡ⓒ_INQUIRY ￠?￥i¨u¡AAⓒ￢Aⓒª " xfId="258"/>
    <cellStyle name="AÞ¸¶ [0]_AN°y(1.25) " xfId="259"/>
    <cellStyle name="AÞ¸¶_AN°y(1.25) " xfId="260"/>
    <cellStyle name="C¡IA¨ª_¡ic¨u¡A¨￢I¨￢¡Æ AN¡Æe " xfId="261"/>
    <cellStyle name="C￥AØ_¿μ¾÷CoE² " xfId="262"/>
    <cellStyle name="Comma [0]_ SG&amp;A Bridge " xfId="263"/>
    <cellStyle name="Comma_ SG&amp;A Bridge " xfId="264"/>
    <cellStyle name="Comma0" xfId="265"/>
    <cellStyle name="Curren?_x0012_퐀_x0017_?" xfId="266"/>
    <cellStyle name="Currency [0]_ SG&amp;A Bridge " xfId="267"/>
    <cellStyle name="Currency_ SG&amp;A Bridge " xfId="268"/>
    <cellStyle name="Currency0" xfId="269"/>
    <cellStyle name="Date" xfId="270"/>
    <cellStyle name="Fixed" xfId="271"/>
    <cellStyle name="Header1" xfId="272"/>
    <cellStyle name="Header2" xfId="273"/>
    <cellStyle name="Heading 1" xfId="274"/>
    <cellStyle name="Heading 2" xfId="275"/>
    <cellStyle name="Normal_ SG&amp;A Bridge " xfId="276"/>
    <cellStyle name="Percent [2]" xfId="277"/>
    <cellStyle name="subhead" xfId="278"/>
    <cellStyle name="Total" xfId="279"/>
    <cellStyle name="강조색1 10" xfId="280"/>
    <cellStyle name="강조색1 11" xfId="281"/>
    <cellStyle name="강조색1 12" xfId="282"/>
    <cellStyle name="강조색1 13" xfId="283"/>
    <cellStyle name="강조색1 14" xfId="284"/>
    <cellStyle name="강조색1 15" xfId="285"/>
    <cellStyle name="강조색1 2" xfId="286"/>
    <cellStyle name="강조색1 3" xfId="287"/>
    <cellStyle name="강조색1 4" xfId="288"/>
    <cellStyle name="강조색1 5" xfId="289"/>
    <cellStyle name="강조색1 6" xfId="290"/>
    <cellStyle name="강조색1 7" xfId="291"/>
    <cellStyle name="강조색1 8" xfId="292"/>
    <cellStyle name="강조색1 9" xfId="293"/>
    <cellStyle name="강조색2 10" xfId="294"/>
    <cellStyle name="강조색2 11" xfId="295"/>
    <cellStyle name="강조색2 12" xfId="296"/>
    <cellStyle name="강조색2 13" xfId="297"/>
    <cellStyle name="강조색2 14" xfId="298"/>
    <cellStyle name="강조색2 15" xfId="299"/>
    <cellStyle name="강조색2 2" xfId="300"/>
    <cellStyle name="강조색2 3" xfId="301"/>
    <cellStyle name="강조색2 4" xfId="302"/>
    <cellStyle name="강조색2 5" xfId="303"/>
    <cellStyle name="강조색2 6" xfId="304"/>
    <cellStyle name="강조색2 7" xfId="305"/>
    <cellStyle name="강조색2 8" xfId="306"/>
    <cellStyle name="강조색2 9" xfId="307"/>
    <cellStyle name="강조색3 10" xfId="308"/>
    <cellStyle name="강조색3 11" xfId="309"/>
    <cellStyle name="강조색3 12" xfId="310"/>
    <cellStyle name="강조색3 13" xfId="311"/>
    <cellStyle name="강조색3 14" xfId="312"/>
    <cellStyle name="강조색3 15" xfId="313"/>
    <cellStyle name="강조색3 2" xfId="314"/>
    <cellStyle name="강조색3 3" xfId="315"/>
    <cellStyle name="강조색3 4" xfId="316"/>
    <cellStyle name="강조색3 5" xfId="317"/>
    <cellStyle name="강조색3 6" xfId="318"/>
    <cellStyle name="강조색3 7" xfId="319"/>
    <cellStyle name="강조색3 8" xfId="320"/>
    <cellStyle name="강조색3 9" xfId="321"/>
    <cellStyle name="강조색4 10" xfId="322"/>
    <cellStyle name="강조색4 11" xfId="323"/>
    <cellStyle name="강조색4 12" xfId="324"/>
    <cellStyle name="강조색4 13" xfId="325"/>
    <cellStyle name="강조색4 14" xfId="326"/>
    <cellStyle name="강조색4 15" xfId="327"/>
    <cellStyle name="강조색4 2" xfId="328"/>
    <cellStyle name="강조색4 3" xfId="329"/>
    <cellStyle name="강조색4 4" xfId="330"/>
    <cellStyle name="강조색4 5" xfId="331"/>
    <cellStyle name="강조색4 6" xfId="332"/>
    <cellStyle name="강조색4 7" xfId="333"/>
    <cellStyle name="강조색4 8" xfId="334"/>
    <cellStyle name="강조색4 9" xfId="335"/>
    <cellStyle name="강조색5 10" xfId="336"/>
    <cellStyle name="강조색5 11" xfId="337"/>
    <cellStyle name="강조색5 12" xfId="338"/>
    <cellStyle name="강조색5 13" xfId="339"/>
    <cellStyle name="강조색5 14" xfId="340"/>
    <cellStyle name="강조색5 15" xfId="341"/>
    <cellStyle name="강조색5 2" xfId="342"/>
    <cellStyle name="강조색5 3" xfId="343"/>
    <cellStyle name="강조색5 4" xfId="344"/>
    <cellStyle name="강조색5 5" xfId="345"/>
    <cellStyle name="강조색5 6" xfId="346"/>
    <cellStyle name="강조색5 7" xfId="347"/>
    <cellStyle name="강조색5 8" xfId="348"/>
    <cellStyle name="강조색5 9" xfId="349"/>
    <cellStyle name="강조색6 10" xfId="350"/>
    <cellStyle name="강조색6 11" xfId="351"/>
    <cellStyle name="강조색6 12" xfId="352"/>
    <cellStyle name="강조색6 13" xfId="353"/>
    <cellStyle name="강조색6 14" xfId="354"/>
    <cellStyle name="강조색6 15" xfId="355"/>
    <cellStyle name="강조색6 2" xfId="356"/>
    <cellStyle name="강조색6 3" xfId="357"/>
    <cellStyle name="강조색6 4" xfId="358"/>
    <cellStyle name="강조색6 5" xfId="359"/>
    <cellStyle name="강조색6 6" xfId="360"/>
    <cellStyle name="강조색6 7" xfId="361"/>
    <cellStyle name="강조색6 8" xfId="362"/>
    <cellStyle name="강조색6 9" xfId="363"/>
    <cellStyle name="경고문 10" xfId="364"/>
    <cellStyle name="경고문 11" xfId="365"/>
    <cellStyle name="경고문 12" xfId="366"/>
    <cellStyle name="경고문 13" xfId="367"/>
    <cellStyle name="경고문 14" xfId="368"/>
    <cellStyle name="경고문 15" xfId="369"/>
    <cellStyle name="경고문 2" xfId="370"/>
    <cellStyle name="경고문 3" xfId="371"/>
    <cellStyle name="경고문 4" xfId="372"/>
    <cellStyle name="경고문 5" xfId="373"/>
    <cellStyle name="경고문 6" xfId="374"/>
    <cellStyle name="경고문 7" xfId="375"/>
    <cellStyle name="경고문 8" xfId="376"/>
    <cellStyle name="경고문 9" xfId="377"/>
    <cellStyle name="계산 10" xfId="378"/>
    <cellStyle name="계산 11" xfId="379"/>
    <cellStyle name="계산 12" xfId="380"/>
    <cellStyle name="계산 13" xfId="381"/>
    <cellStyle name="계산 14" xfId="382"/>
    <cellStyle name="계산 15" xfId="383"/>
    <cellStyle name="계산 2" xfId="384"/>
    <cellStyle name="계산 3" xfId="385"/>
    <cellStyle name="계산 4" xfId="386"/>
    <cellStyle name="계산 5" xfId="387"/>
    <cellStyle name="계산 6" xfId="388"/>
    <cellStyle name="계산 7" xfId="389"/>
    <cellStyle name="계산 8" xfId="390"/>
    <cellStyle name="계산 9" xfId="391"/>
    <cellStyle name="나쁨 10" xfId="392"/>
    <cellStyle name="나쁨 11" xfId="393"/>
    <cellStyle name="나쁨 12" xfId="394"/>
    <cellStyle name="나쁨 13" xfId="395"/>
    <cellStyle name="나쁨 14" xfId="396"/>
    <cellStyle name="나쁨 15" xfId="397"/>
    <cellStyle name="나쁨 2" xfId="398"/>
    <cellStyle name="나쁨 3" xfId="399"/>
    <cellStyle name="나쁨 4" xfId="400"/>
    <cellStyle name="나쁨 5" xfId="401"/>
    <cellStyle name="나쁨 6" xfId="402"/>
    <cellStyle name="나쁨 7" xfId="403"/>
    <cellStyle name="나쁨 8" xfId="404"/>
    <cellStyle name="나쁨 9" xfId="405"/>
    <cellStyle name="똿뗦먛귟 [0.00]_PRODUCT DETAIL Q1" xfId="406"/>
    <cellStyle name="똿뗦먛귟_PRODUCT DETAIL Q1" xfId="407"/>
    <cellStyle name="로마자" xfId="408"/>
    <cellStyle name="메모 10" xfId="409"/>
    <cellStyle name="메모 11" xfId="410"/>
    <cellStyle name="메모 12" xfId="411"/>
    <cellStyle name="메모 13" xfId="412"/>
    <cellStyle name="메모 14" xfId="413"/>
    <cellStyle name="메모 15" xfId="414"/>
    <cellStyle name="메모 2" xfId="415"/>
    <cellStyle name="메모 3" xfId="416"/>
    <cellStyle name="메모 4" xfId="417"/>
    <cellStyle name="메모 5" xfId="418"/>
    <cellStyle name="메모 6" xfId="419"/>
    <cellStyle name="메모 7" xfId="420"/>
    <cellStyle name="메모 8" xfId="421"/>
    <cellStyle name="메모 9" xfId="422"/>
    <cellStyle name="믅됞 [0.00]_PRODUCT DETAIL Q1" xfId="423"/>
    <cellStyle name="믅됞_PRODUCT DETAIL Q1" xfId="424"/>
    <cellStyle name="보통 10" xfId="425"/>
    <cellStyle name="보통 11" xfId="426"/>
    <cellStyle name="보통 12" xfId="427"/>
    <cellStyle name="보통 13" xfId="428"/>
    <cellStyle name="보통 14" xfId="429"/>
    <cellStyle name="보통 15" xfId="430"/>
    <cellStyle name="보통 2" xfId="431"/>
    <cellStyle name="보통 3" xfId="432"/>
    <cellStyle name="보통 4" xfId="433"/>
    <cellStyle name="보통 5" xfId="434"/>
    <cellStyle name="보통 6" xfId="435"/>
    <cellStyle name="보통 7" xfId="436"/>
    <cellStyle name="보통 8" xfId="437"/>
    <cellStyle name="보통 9" xfId="438"/>
    <cellStyle name="뷭?_BOOKSHIP" xfId="439"/>
    <cellStyle name="설명 텍스트 10" xfId="440"/>
    <cellStyle name="설명 텍스트 11" xfId="441"/>
    <cellStyle name="설명 텍스트 12" xfId="442"/>
    <cellStyle name="설명 텍스트 13" xfId="443"/>
    <cellStyle name="설명 텍스트 14" xfId="444"/>
    <cellStyle name="설명 텍스트 15" xfId="445"/>
    <cellStyle name="설명 텍스트 2" xfId="446"/>
    <cellStyle name="설명 텍스트 3" xfId="447"/>
    <cellStyle name="설명 텍스트 4" xfId="448"/>
    <cellStyle name="설명 텍스트 5" xfId="449"/>
    <cellStyle name="설명 텍스트 6" xfId="450"/>
    <cellStyle name="설명 텍스트 7" xfId="451"/>
    <cellStyle name="설명 텍스트 8" xfId="452"/>
    <cellStyle name="설명 텍스트 9" xfId="453"/>
    <cellStyle name="셀 확인 10" xfId="454"/>
    <cellStyle name="셀 확인 11" xfId="455"/>
    <cellStyle name="셀 확인 12" xfId="456"/>
    <cellStyle name="셀 확인 13" xfId="457"/>
    <cellStyle name="셀 확인 14" xfId="458"/>
    <cellStyle name="셀 확인 15" xfId="459"/>
    <cellStyle name="셀 확인 2" xfId="460"/>
    <cellStyle name="셀 확인 3" xfId="461"/>
    <cellStyle name="셀 확인 4" xfId="462"/>
    <cellStyle name="셀 확인 5" xfId="463"/>
    <cellStyle name="셀 확인 6" xfId="464"/>
    <cellStyle name="셀 확인 7" xfId="465"/>
    <cellStyle name="셀 확인 8" xfId="466"/>
    <cellStyle name="셀 확인 9" xfId="467"/>
    <cellStyle name="쉼표 [0] 2" xfId="468"/>
    <cellStyle name="쉼표 [0] 2 2" xfId="469"/>
    <cellStyle name="쉼표 [0] 2 2 2" xfId="470"/>
    <cellStyle name="쉼표 [0] 2 2 3" xfId="471"/>
    <cellStyle name="쉼표 [0] 3" xfId="472"/>
    <cellStyle name="스타일 1" xfId="473"/>
    <cellStyle name="연결된 셀 10" xfId="474"/>
    <cellStyle name="연결된 셀 11" xfId="475"/>
    <cellStyle name="연결된 셀 12" xfId="476"/>
    <cellStyle name="연결된 셀 13" xfId="477"/>
    <cellStyle name="연결된 셀 14" xfId="478"/>
    <cellStyle name="연결된 셀 15" xfId="479"/>
    <cellStyle name="연결된 셀 2" xfId="480"/>
    <cellStyle name="연결된 셀 3" xfId="481"/>
    <cellStyle name="연결된 셀 4" xfId="482"/>
    <cellStyle name="연결된 셀 5" xfId="483"/>
    <cellStyle name="연결된 셀 6" xfId="484"/>
    <cellStyle name="연결된 셀 7" xfId="485"/>
    <cellStyle name="연결된 셀 8" xfId="486"/>
    <cellStyle name="연결된 셀 9" xfId="487"/>
    <cellStyle name="요약 10" xfId="488"/>
    <cellStyle name="요약 11" xfId="489"/>
    <cellStyle name="요약 12" xfId="490"/>
    <cellStyle name="요약 13" xfId="491"/>
    <cellStyle name="요약 14" xfId="492"/>
    <cellStyle name="요약 15" xfId="493"/>
    <cellStyle name="요약 2" xfId="494"/>
    <cellStyle name="요약 3" xfId="495"/>
    <cellStyle name="요약 4" xfId="496"/>
    <cellStyle name="요약 5" xfId="497"/>
    <cellStyle name="요약 6" xfId="498"/>
    <cellStyle name="요약 7" xfId="499"/>
    <cellStyle name="요약 8" xfId="500"/>
    <cellStyle name="요약 9" xfId="501"/>
    <cellStyle name="입력 10" xfId="502"/>
    <cellStyle name="입력 11" xfId="503"/>
    <cellStyle name="입력 12" xfId="504"/>
    <cellStyle name="입력 13" xfId="505"/>
    <cellStyle name="입력 14" xfId="506"/>
    <cellStyle name="입력 15" xfId="507"/>
    <cellStyle name="입력 2" xfId="508"/>
    <cellStyle name="입력 3" xfId="509"/>
    <cellStyle name="입력 4" xfId="510"/>
    <cellStyle name="입력 5" xfId="511"/>
    <cellStyle name="입력 6" xfId="512"/>
    <cellStyle name="입력 7" xfId="513"/>
    <cellStyle name="입력 8" xfId="514"/>
    <cellStyle name="입력 9" xfId="515"/>
    <cellStyle name="제목 1 10" xfId="516"/>
    <cellStyle name="제목 1 11" xfId="517"/>
    <cellStyle name="제목 1 12" xfId="518"/>
    <cellStyle name="제목 1 13" xfId="519"/>
    <cellStyle name="제목 1 14" xfId="520"/>
    <cellStyle name="제목 1 15" xfId="521"/>
    <cellStyle name="제목 1 2" xfId="522"/>
    <cellStyle name="제목 1 3" xfId="523"/>
    <cellStyle name="제목 1 4" xfId="524"/>
    <cellStyle name="제목 1 5" xfId="525"/>
    <cellStyle name="제목 1 6" xfId="526"/>
    <cellStyle name="제목 1 7" xfId="527"/>
    <cellStyle name="제목 1 8" xfId="528"/>
    <cellStyle name="제목 1 9" xfId="529"/>
    <cellStyle name="제목 10" xfId="530"/>
    <cellStyle name="제목 11" xfId="531"/>
    <cellStyle name="제목 12" xfId="532"/>
    <cellStyle name="제목 13" xfId="533"/>
    <cellStyle name="제목 14" xfId="534"/>
    <cellStyle name="제목 15" xfId="535"/>
    <cellStyle name="제목 16" xfId="536"/>
    <cellStyle name="제목 17" xfId="537"/>
    <cellStyle name="제목 18" xfId="538"/>
    <cellStyle name="제목 2 10" xfId="539"/>
    <cellStyle name="제목 2 11" xfId="540"/>
    <cellStyle name="제목 2 12" xfId="541"/>
    <cellStyle name="제목 2 13" xfId="542"/>
    <cellStyle name="제목 2 14" xfId="543"/>
    <cellStyle name="제목 2 15" xfId="544"/>
    <cellStyle name="제목 2 2" xfId="545"/>
    <cellStyle name="제목 2 3" xfId="546"/>
    <cellStyle name="제목 2 4" xfId="547"/>
    <cellStyle name="제목 2 5" xfId="548"/>
    <cellStyle name="제목 2 6" xfId="549"/>
    <cellStyle name="제목 2 7" xfId="550"/>
    <cellStyle name="제목 2 8" xfId="551"/>
    <cellStyle name="제목 2 9" xfId="552"/>
    <cellStyle name="제목 3 10" xfId="553"/>
    <cellStyle name="제목 3 11" xfId="554"/>
    <cellStyle name="제목 3 12" xfId="555"/>
    <cellStyle name="제목 3 13" xfId="556"/>
    <cellStyle name="제목 3 14" xfId="557"/>
    <cellStyle name="제목 3 15" xfId="558"/>
    <cellStyle name="제목 3 2" xfId="559"/>
    <cellStyle name="제목 3 3" xfId="560"/>
    <cellStyle name="제목 3 4" xfId="561"/>
    <cellStyle name="제목 3 5" xfId="562"/>
    <cellStyle name="제목 3 6" xfId="563"/>
    <cellStyle name="제목 3 7" xfId="564"/>
    <cellStyle name="제목 3 8" xfId="565"/>
    <cellStyle name="제목 3 9" xfId="566"/>
    <cellStyle name="제목 4 10" xfId="567"/>
    <cellStyle name="제목 4 11" xfId="568"/>
    <cellStyle name="제목 4 12" xfId="569"/>
    <cellStyle name="제목 4 13" xfId="570"/>
    <cellStyle name="제목 4 14" xfId="571"/>
    <cellStyle name="제목 4 15" xfId="572"/>
    <cellStyle name="제목 4 2" xfId="573"/>
    <cellStyle name="제목 4 3" xfId="574"/>
    <cellStyle name="제목 4 4" xfId="575"/>
    <cellStyle name="제목 4 5" xfId="576"/>
    <cellStyle name="제목 4 6" xfId="577"/>
    <cellStyle name="제목 4 7" xfId="578"/>
    <cellStyle name="제목 4 8" xfId="579"/>
    <cellStyle name="제목 4 9" xfId="580"/>
    <cellStyle name="제목 5" xfId="581"/>
    <cellStyle name="제목 6" xfId="582"/>
    <cellStyle name="제목 7" xfId="583"/>
    <cellStyle name="제목 8" xfId="584"/>
    <cellStyle name="제목 9" xfId="585"/>
    <cellStyle name="좋음 10" xfId="586"/>
    <cellStyle name="좋음 11" xfId="587"/>
    <cellStyle name="좋음 12" xfId="588"/>
    <cellStyle name="좋음 13" xfId="589"/>
    <cellStyle name="좋음 14" xfId="590"/>
    <cellStyle name="좋음 15" xfId="591"/>
    <cellStyle name="좋음 2" xfId="592"/>
    <cellStyle name="좋음 3" xfId="593"/>
    <cellStyle name="좋음 4" xfId="594"/>
    <cellStyle name="좋음 5" xfId="595"/>
    <cellStyle name="좋음 6" xfId="596"/>
    <cellStyle name="좋음 7" xfId="597"/>
    <cellStyle name="좋음 8" xfId="598"/>
    <cellStyle name="좋음 9" xfId="599"/>
    <cellStyle name="쪽번호" xfId="600"/>
    <cellStyle name="출력 10" xfId="601"/>
    <cellStyle name="출력 11" xfId="602"/>
    <cellStyle name="출력 12" xfId="603"/>
    <cellStyle name="출력 13" xfId="604"/>
    <cellStyle name="출력 14" xfId="605"/>
    <cellStyle name="출력 15" xfId="606"/>
    <cellStyle name="출력 2" xfId="607"/>
    <cellStyle name="출력 3" xfId="608"/>
    <cellStyle name="출력 4" xfId="609"/>
    <cellStyle name="출력 5" xfId="610"/>
    <cellStyle name="출력 6" xfId="611"/>
    <cellStyle name="출력 7" xfId="612"/>
    <cellStyle name="출력 8" xfId="613"/>
    <cellStyle name="출력 9" xfId="614"/>
    <cellStyle name="콤마 [0]_ 견적기준 FLOW " xfId="615"/>
    <cellStyle name="콤마_ 견적기준 FLOW " xfId="616"/>
    <cellStyle name="표준" xfId="0" builtinId="0"/>
    <cellStyle name="표준 10" xfId="632"/>
    <cellStyle name="표준 11" xfId="633"/>
    <cellStyle name="표준 11 2" xfId="634"/>
    <cellStyle name="표준 11 3" xfId="635"/>
    <cellStyle name="표준 2" xfId="617"/>
    <cellStyle name="표준 2 2" xfId="618"/>
    <cellStyle name="표준 2 3" xfId="619"/>
    <cellStyle name="표준 2 4" xfId="620"/>
    <cellStyle name="표준 3" xfId="621"/>
    <cellStyle name="표준 3 2" xfId="622"/>
    <cellStyle name="표준 4" xfId="623"/>
    <cellStyle name="표준 4 2" xfId="624"/>
    <cellStyle name="표준 4 3" xfId="625"/>
    <cellStyle name="표준 4 3 2" xfId="626"/>
    <cellStyle name="표준 5" xfId="627"/>
    <cellStyle name="표준 6" xfId="628"/>
    <cellStyle name="표준 7" xfId="629"/>
    <cellStyle name="표준 8" xfId="630"/>
    <cellStyle name="표준 9" xfId="63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66"/>
  <sheetViews>
    <sheetView showGridLines="0" tabSelected="1"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16" sqref="E16"/>
    </sheetView>
  </sheetViews>
  <sheetFormatPr defaultColWidth="1.7109375" defaultRowHeight="17.100000000000001" customHeight="1"/>
  <cols>
    <col min="1" max="1" width="2.28515625" style="10" customWidth="1"/>
    <col min="2" max="2" width="2.28515625" style="20" customWidth="1"/>
    <col min="3" max="3" width="29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2.28515625" style="10" customWidth="1"/>
    <col min="8" max="255" width="9.140625" style="9" customWidth="1"/>
    <col min="256" max="16384" width="1.7109375" style="9"/>
  </cols>
  <sheetData>
    <row r="1" spans="2:7" s="1" customFormat="1" ht="21.95" customHeight="1">
      <c r="B1" s="249" t="s">
        <v>105</v>
      </c>
      <c r="C1" s="249"/>
      <c r="D1" s="249"/>
      <c r="E1" s="249"/>
      <c r="F1" s="249"/>
      <c r="G1" s="249"/>
    </row>
    <row r="2" spans="2:7" s="2" customFormat="1" ht="15" customHeight="1">
      <c r="B2" s="250" t="s">
        <v>173</v>
      </c>
      <c r="C2" s="250"/>
      <c r="D2" s="250"/>
      <c r="E2" s="250"/>
      <c r="F2" s="250"/>
      <c r="G2" s="250"/>
    </row>
    <row r="3" spans="2:7" s="23" customFormat="1" ht="11.1" customHeight="1" thickBot="1">
      <c r="B3" s="77"/>
      <c r="C3" s="78"/>
      <c r="D3" s="79"/>
      <c r="E3" s="80"/>
      <c r="F3" s="81" t="s">
        <v>54</v>
      </c>
      <c r="G3" s="81"/>
    </row>
    <row r="4" spans="2:7" s="6" customFormat="1" ht="15.6" customHeight="1">
      <c r="B4" s="82"/>
      <c r="C4" s="83" t="s">
        <v>95</v>
      </c>
      <c r="D4" s="84" t="s">
        <v>55</v>
      </c>
      <c r="E4" s="84" t="s">
        <v>56</v>
      </c>
      <c r="F4" s="84" t="s">
        <v>57</v>
      </c>
      <c r="G4" s="85"/>
    </row>
    <row r="5" spans="2:7" s="7" customFormat="1" ht="20.100000000000001" customHeight="1">
      <c r="B5" s="86"/>
      <c r="C5" s="87" t="s">
        <v>106</v>
      </c>
      <c r="D5" s="199">
        <f>SUM(D7,D11,D15,D21,D22,D23,D24,D28,D31,D32,D33,D38,D43,D47,D48,D49,D53,D57)</f>
        <v>835702</v>
      </c>
      <c r="E5" s="199">
        <f>SUM(E7,E11,E15,E21,E22,E23,E24,E28,E31,E32,E33,E38,E43,E47,E48,E49,E53,E57)</f>
        <v>541568</v>
      </c>
      <c r="F5" s="199">
        <f t="shared" ref="F5" si="0">SUM(F7,F11,F15,F21,F22,F23,F24,F28,F31,F32,F33,F38,F43,F47,F48,F49,F53,F57)</f>
        <v>294134</v>
      </c>
      <c r="G5" s="89"/>
    </row>
    <row r="6" spans="2:7" s="8" customFormat="1" ht="15" customHeight="1" thickBot="1">
      <c r="B6" s="90"/>
      <c r="C6" s="91" t="s">
        <v>107</v>
      </c>
      <c r="D6" s="197">
        <v>-63094</v>
      </c>
      <c r="E6" s="197">
        <v>-32707</v>
      </c>
      <c r="F6" s="197">
        <v>-30387</v>
      </c>
      <c r="G6" s="93"/>
    </row>
    <row r="7" spans="2:7" ht="15.6" customHeight="1" thickTop="1">
      <c r="B7" s="94"/>
      <c r="C7" s="94" t="s">
        <v>108</v>
      </c>
      <c r="D7" s="231">
        <v>855</v>
      </c>
      <c r="E7" s="231">
        <v>0</v>
      </c>
      <c r="F7" s="231">
        <v>855</v>
      </c>
      <c r="G7" s="96"/>
    </row>
    <row r="8" spans="2:7" ht="15.6" customHeight="1">
      <c r="B8" s="97"/>
      <c r="C8" s="97" t="s">
        <v>0</v>
      </c>
      <c r="D8" s="232">
        <v>772</v>
      </c>
      <c r="E8" s="232">
        <v>0</v>
      </c>
      <c r="F8" s="232">
        <v>772</v>
      </c>
      <c r="G8" s="99"/>
    </row>
    <row r="9" spans="2:7" ht="15.6" customHeight="1">
      <c r="B9" s="97"/>
      <c r="C9" s="97" t="s">
        <v>1</v>
      </c>
      <c r="D9" s="232">
        <v>28</v>
      </c>
      <c r="E9" s="232">
        <v>0</v>
      </c>
      <c r="F9" s="232">
        <v>28</v>
      </c>
      <c r="G9" s="99"/>
    </row>
    <row r="10" spans="2:7" ht="15.6" customHeight="1">
      <c r="B10" s="97"/>
      <c r="C10" s="97" t="s">
        <v>2</v>
      </c>
      <c r="D10" s="232">
        <v>55</v>
      </c>
      <c r="E10" s="232">
        <v>0</v>
      </c>
      <c r="F10" s="232">
        <v>55</v>
      </c>
      <c r="G10" s="100"/>
    </row>
    <row r="11" spans="2:7" ht="15.6" customHeight="1">
      <c r="B11" s="101"/>
      <c r="C11" s="101" t="s">
        <v>3</v>
      </c>
      <c r="D11" s="233">
        <v>8274</v>
      </c>
      <c r="E11" s="233">
        <v>4</v>
      </c>
      <c r="F11" s="233">
        <v>8270</v>
      </c>
      <c r="G11" s="104"/>
    </row>
    <row r="12" spans="2:7" ht="15.6" customHeight="1">
      <c r="B12" s="97"/>
      <c r="C12" s="97" t="s">
        <v>0</v>
      </c>
      <c r="D12" s="236">
        <v>4520</v>
      </c>
      <c r="E12" s="232">
        <v>3</v>
      </c>
      <c r="F12" s="236">
        <v>4517</v>
      </c>
      <c r="G12" s="99"/>
    </row>
    <row r="13" spans="2:7" ht="15.6" customHeight="1">
      <c r="B13" s="97"/>
      <c r="C13" s="97" t="s">
        <v>1</v>
      </c>
      <c r="D13" s="236">
        <v>796</v>
      </c>
      <c r="E13" s="232">
        <v>0</v>
      </c>
      <c r="F13" s="232">
        <v>796</v>
      </c>
      <c r="G13" s="99"/>
    </row>
    <row r="14" spans="2:7" ht="15.6" customHeight="1">
      <c r="B14" s="105"/>
      <c r="C14" s="105" t="s">
        <v>2</v>
      </c>
      <c r="D14" s="236">
        <v>2958</v>
      </c>
      <c r="E14" s="232">
        <v>1</v>
      </c>
      <c r="F14" s="236">
        <v>2957</v>
      </c>
      <c r="G14" s="106"/>
    </row>
    <row r="15" spans="2:7" ht="15.6" customHeight="1">
      <c r="B15" s="107"/>
      <c r="C15" s="107" t="s">
        <v>109</v>
      </c>
      <c r="D15" s="237">
        <v>282467</v>
      </c>
      <c r="E15" s="238">
        <v>103959</v>
      </c>
      <c r="F15" s="238">
        <v>178508</v>
      </c>
      <c r="G15" s="110"/>
    </row>
    <row r="16" spans="2:7" ht="15.6" customHeight="1">
      <c r="B16" s="97"/>
      <c r="C16" s="97" t="s">
        <v>4</v>
      </c>
      <c r="D16" s="236">
        <v>34186</v>
      </c>
      <c r="E16" s="232">
        <v>0</v>
      </c>
      <c r="F16" s="236">
        <v>34186</v>
      </c>
      <c r="G16" s="99"/>
    </row>
    <row r="17" spans="1:7" ht="15.6" customHeight="1">
      <c r="B17" s="97"/>
      <c r="C17" s="97" t="s">
        <v>5</v>
      </c>
      <c r="D17" s="236">
        <v>165746</v>
      </c>
      <c r="E17" s="236">
        <v>55724</v>
      </c>
      <c r="F17" s="236">
        <v>110022</v>
      </c>
      <c r="G17" s="99"/>
    </row>
    <row r="18" spans="1:7" ht="15.6" customHeight="1">
      <c r="B18" s="97"/>
      <c r="C18" s="97" t="s">
        <v>6</v>
      </c>
      <c r="D18" s="236">
        <v>14541</v>
      </c>
      <c r="E18" s="232">
        <v>0</v>
      </c>
      <c r="F18" s="236">
        <v>14541</v>
      </c>
      <c r="G18" s="99"/>
    </row>
    <row r="19" spans="1:7" ht="15.6" customHeight="1">
      <c r="B19" s="97"/>
      <c r="C19" s="97" t="s">
        <v>7</v>
      </c>
      <c r="D19" s="236">
        <v>67994</v>
      </c>
      <c r="E19" s="236">
        <v>48235</v>
      </c>
      <c r="F19" s="236">
        <v>19759</v>
      </c>
      <c r="G19" s="99"/>
    </row>
    <row r="20" spans="1:7" s="12" customFormat="1" ht="12">
      <c r="A20" s="11"/>
      <c r="B20" s="111"/>
      <c r="C20" s="111" t="s">
        <v>110</v>
      </c>
      <c r="D20" s="248">
        <v>-63094</v>
      </c>
      <c r="E20" s="248">
        <v>-32707</v>
      </c>
      <c r="F20" s="248">
        <v>-30387</v>
      </c>
      <c r="G20" s="113"/>
    </row>
    <row r="21" spans="1:7" ht="15.6" customHeight="1">
      <c r="B21" s="114"/>
      <c r="C21" s="114" t="s">
        <v>8</v>
      </c>
      <c r="D21" s="247">
        <v>91116</v>
      </c>
      <c r="E21" s="247">
        <v>10408</v>
      </c>
      <c r="F21" s="247">
        <v>80708</v>
      </c>
      <c r="G21" s="116"/>
    </row>
    <row r="22" spans="1:7" ht="15.6" customHeight="1">
      <c r="B22" s="114"/>
      <c r="C22" s="114" t="s">
        <v>9</v>
      </c>
      <c r="D22" s="239">
        <v>52450</v>
      </c>
      <c r="E22" s="239">
        <v>44977</v>
      </c>
      <c r="F22" s="239">
        <v>7473</v>
      </c>
      <c r="G22" s="116"/>
    </row>
    <row r="23" spans="1:7" ht="15.6" customHeight="1">
      <c r="B23" s="114"/>
      <c r="C23" s="114" t="s">
        <v>26</v>
      </c>
      <c r="D23" s="239">
        <v>286</v>
      </c>
      <c r="E23" s="240">
        <v>6</v>
      </c>
      <c r="F23" s="240">
        <v>280</v>
      </c>
      <c r="G23" s="116"/>
    </row>
    <row r="24" spans="1:7" ht="15.6" customHeight="1">
      <c r="B24" s="107"/>
      <c r="C24" s="107" t="s">
        <v>10</v>
      </c>
      <c r="D24" s="241">
        <v>944</v>
      </c>
      <c r="E24" s="241">
        <v>380</v>
      </c>
      <c r="F24" s="241">
        <v>564</v>
      </c>
      <c r="G24" s="110"/>
    </row>
    <row r="25" spans="1:7" ht="15.6" customHeight="1">
      <c r="A25" s="13"/>
      <c r="B25" s="117"/>
      <c r="C25" s="117" t="s">
        <v>111</v>
      </c>
      <c r="D25" s="232">
        <v>29</v>
      </c>
      <c r="E25" s="232">
        <v>0</v>
      </c>
      <c r="F25" s="232">
        <v>29</v>
      </c>
      <c r="G25" s="99"/>
    </row>
    <row r="26" spans="1:7" ht="15.6" customHeight="1">
      <c r="A26" s="13"/>
      <c r="B26" s="117"/>
      <c r="C26" s="117" t="s">
        <v>112</v>
      </c>
      <c r="D26" s="232">
        <v>348</v>
      </c>
      <c r="E26" s="232">
        <v>116</v>
      </c>
      <c r="F26" s="232">
        <v>232</v>
      </c>
      <c r="G26" s="99"/>
    </row>
    <row r="27" spans="1:7" ht="15.6" customHeight="1">
      <c r="A27" s="13"/>
      <c r="B27" s="118"/>
      <c r="C27" s="118" t="s">
        <v>113</v>
      </c>
      <c r="D27" s="232">
        <v>567</v>
      </c>
      <c r="E27" s="232">
        <v>264</v>
      </c>
      <c r="F27" s="232">
        <v>303</v>
      </c>
      <c r="G27" s="106"/>
    </row>
    <row r="28" spans="1:7" ht="15.6" customHeight="1">
      <c r="B28" s="107"/>
      <c r="C28" s="107" t="s">
        <v>170</v>
      </c>
      <c r="D28" s="237">
        <v>14572</v>
      </c>
      <c r="E28" s="238">
        <v>3066</v>
      </c>
      <c r="F28" s="238">
        <v>11506</v>
      </c>
      <c r="G28" s="110"/>
    </row>
    <row r="29" spans="1:7" ht="15.6" customHeight="1">
      <c r="B29" s="117"/>
      <c r="C29" s="117" t="s">
        <v>11</v>
      </c>
      <c r="D29" s="236">
        <v>8609</v>
      </c>
      <c r="E29" s="232">
        <v>0</v>
      </c>
      <c r="F29" s="236">
        <v>8609</v>
      </c>
      <c r="G29" s="99"/>
    </row>
    <row r="30" spans="1:7" ht="15.6" customHeight="1">
      <c r="B30" s="119"/>
      <c r="C30" s="119" t="s">
        <v>12</v>
      </c>
      <c r="D30" s="236">
        <v>5963</v>
      </c>
      <c r="E30" s="236">
        <v>3066</v>
      </c>
      <c r="F30" s="236">
        <v>2897</v>
      </c>
      <c r="G30" s="106"/>
    </row>
    <row r="31" spans="1:7" ht="15.6" customHeight="1">
      <c r="B31" s="120"/>
      <c r="C31" s="120" t="s">
        <v>30</v>
      </c>
      <c r="D31" s="240">
        <v>16</v>
      </c>
      <c r="E31" s="240">
        <v>0</v>
      </c>
      <c r="F31" s="240">
        <v>16</v>
      </c>
      <c r="G31" s="116"/>
    </row>
    <row r="32" spans="1:7" ht="15.6" customHeight="1">
      <c r="B32" s="120"/>
      <c r="C32" s="120" t="s">
        <v>13</v>
      </c>
      <c r="D32" s="240">
        <v>367</v>
      </c>
      <c r="E32" s="240">
        <v>13</v>
      </c>
      <c r="F32" s="240">
        <v>354</v>
      </c>
      <c r="G32" s="116"/>
    </row>
    <row r="33" spans="1:7" ht="15.6" customHeight="1">
      <c r="A33" s="13"/>
      <c r="B33" s="107"/>
      <c r="C33" s="107" t="s">
        <v>14</v>
      </c>
      <c r="D33" s="237">
        <v>2819</v>
      </c>
      <c r="E33" s="238">
        <v>2197</v>
      </c>
      <c r="F33" s="242">
        <v>622</v>
      </c>
      <c r="G33" s="110"/>
    </row>
    <row r="34" spans="1:7" ht="15.6" customHeight="1">
      <c r="B34" s="117"/>
      <c r="C34" s="117" t="s">
        <v>32</v>
      </c>
      <c r="D34" s="232">
        <v>177</v>
      </c>
      <c r="E34" s="232">
        <v>0</v>
      </c>
      <c r="F34" s="232">
        <v>177</v>
      </c>
      <c r="G34" s="99"/>
    </row>
    <row r="35" spans="1:7" ht="15.6" customHeight="1">
      <c r="B35" s="117"/>
      <c r="C35" s="117" t="s">
        <v>33</v>
      </c>
      <c r="D35" s="236">
        <v>1845</v>
      </c>
      <c r="E35" s="236">
        <v>1721</v>
      </c>
      <c r="F35" s="232">
        <v>124</v>
      </c>
      <c r="G35" s="99"/>
    </row>
    <row r="36" spans="1:7" ht="15.6" customHeight="1">
      <c r="B36" s="117"/>
      <c r="C36" s="117" t="s">
        <v>34</v>
      </c>
      <c r="D36" s="232">
        <v>215</v>
      </c>
      <c r="E36" s="232">
        <v>0</v>
      </c>
      <c r="F36" s="232">
        <v>215</v>
      </c>
      <c r="G36" s="99"/>
    </row>
    <row r="37" spans="1:7" ht="15.6" customHeight="1">
      <c r="B37" s="118"/>
      <c r="C37" s="118" t="s">
        <v>35</v>
      </c>
      <c r="D37" s="232">
        <v>582</v>
      </c>
      <c r="E37" s="232">
        <v>476</v>
      </c>
      <c r="F37" s="232">
        <v>106</v>
      </c>
      <c r="G37" s="106"/>
    </row>
    <row r="38" spans="1:7" ht="15.6" customHeight="1">
      <c r="A38" s="13"/>
      <c r="B38" s="107"/>
      <c r="C38" s="107" t="s">
        <v>114</v>
      </c>
      <c r="D38" s="237">
        <v>9478</v>
      </c>
      <c r="E38" s="238">
        <v>6829</v>
      </c>
      <c r="F38" s="238">
        <v>2649</v>
      </c>
      <c r="G38" s="110"/>
    </row>
    <row r="39" spans="1:7" s="29" customFormat="1" ht="15.6" customHeight="1">
      <c r="A39" s="28"/>
      <c r="B39" s="121"/>
      <c r="C39" s="121" t="s">
        <v>115</v>
      </c>
      <c r="D39" s="236">
        <v>1676</v>
      </c>
      <c r="E39" s="232">
        <v>0</v>
      </c>
      <c r="F39" s="236">
        <v>1676</v>
      </c>
      <c r="G39" s="123"/>
    </row>
    <row r="40" spans="1:7" ht="15.6" customHeight="1">
      <c r="B40" s="117"/>
      <c r="C40" s="117" t="s">
        <v>49</v>
      </c>
      <c r="D40" s="236">
        <v>7237</v>
      </c>
      <c r="E40" s="236">
        <v>6581</v>
      </c>
      <c r="F40" s="232">
        <v>656</v>
      </c>
      <c r="G40" s="99"/>
    </row>
    <row r="41" spans="1:7" ht="15.6" customHeight="1">
      <c r="B41" s="117"/>
      <c r="C41" s="117" t="s">
        <v>116</v>
      </c>
      <c r="D41" s="232">
        <v>293</v>
      </c>
      <c r="E41" s="232">
        <v>0</v>
      </c>
      <c r="F41" s="232">
        <v>293</v>
      </c>
      <c r="G41" s="99"/>
    </row>
    <row r="42" spans="1:7" ht="15.6" customHeight="1">
      <c r="B42" s="118"/>
      <c r="C42" s="118" t="s">
        <v>51</v>
      </c>
      <c r="D42" s="232">
        <v>272</v>
      </c>
      <c r="E42" s="232">
        <v>248</v>
      </c>
      <c r="F42" s="232">
        <v>24</v>
      </c>
      <c r="G42" s="106"/>
    </row>
    <row r="43" spans="1:7" ht="15.6" customHeight="1">
      <c r="B43" s="107"/>
      <c r="C43" s="107" t="s">
        <v>15</v>
      </c>
      <c r="D43" s="237">
        <v>184580</v>
      </c>
      <c r="E43" s="237">
        <v>184580</v>
      </c>
      <c r="F43" s="242">
        <v>0</v>
      </c>
      <c r="G43" s="110"/>
    </row>
    <row r="44" spans="1:7" ht="15.6" customHeight="1">
      <c r="B44" s="117"/>
      <c r="C44" s="117" t="s">
        <v>154</v>
      </c>
      <c r="D44" s="236">
        <v>24230</v>
      </c>
      <c r="E44" s="236">
        <v>24230</v>
      </c>
      <c r="F44" s="232">
        <v>0</v>
      </c>
      <c r="G44" s="99"/>
    </row>
    <row r="45" spans="1:7" ht="15.6" customHeight="1">
      <c r="B45" s="117"/>
      <c r="C45" s="117" t="s">
        <v>157</v>
      </c>
      <c r="D45" s="236">
        <v>159540</v>
      </c>
      <c r="E45" s="236">
        <v>159540</v>
      </c>
      <c r="F45" s="232">
        <v>0</v>
      </c>
      <c r="G45" s="99"/>
    </row>
    <row r="46" spans="1:7" ht="15.6" customHeight="1">
      <c r="B46" s="118"/>
      <c r="C46" s="118" t="s">
        <v>156</v>
      </c>
      <c r="D46" s="236">
        <v>810</v>
      </c>
      <c r="E46" s="236">
        <v>810</v>
      </c>
      <c r="F46" s="232">
        <v>0</v>
      </c>
      <c r="G46" s="106"/>
    </row>
    <row r="47" spans="1:7" ht="15.6" customHeight="1">
      <c r="A47" s="13"/>
      <c r="B47" s="114"/>
      <c r="C47" s="114" t="s">
        <v>52</v>
      </c>
      <c r="D47" s="239">
        <v>45957</v>
      </c>
      <c r="E47" s="239">
        <v>45957</v>
      </c>
      <c r="F47" s="240">
        <v>0</v>
      </c>
      <c r="G47" s="116"/>
    </row>
    <row r="48" spans="1:7" ht="15.6" customHeight="1">
      <c r="A48" s="13"/>
      <c r="B48" s="114"/>
      <c r="C48" s="114" t="s">
        <v>117</v>
      </c>
      <c r="D48" s="239">
        <v>202</v>
      </c>
      <c r="E48" s="240">
        <v>202</v>
      </c>
      <c r="F48" s="240">
        <v>0</v>
      </c>
      <c r="G48" s="116"/>
    </row>
    <row r="49" spans="1:7" ht="15.6" customHeight="1">
      <c r="A49" s="13"/>
      <c r="B49" s="107"/>
      <c r="C49" s="107" t="s">
        <v>166</v>
      </c>
      <c r="D49" s="238">
        <v>4690</v>
      </c>
      <c r="E49" s="238">
        <v>3543</v>
      </c>
      <c r="F49" s="238">
        <v>1147</v>
      </c>
      <c r="G49" s="110"/>
    </row>
    <row r="50" spans="1:7" ht="15.6" customHeight="1">
      <c r="B50" s="97"/>
      <c r="C50" s="97" t="s">
        <v>159</v>
      </c>
      <c r="D50" s="232">
        <v>156</v>
      </c>
      <c r="E50" s="232">
        <v>0</v>
      </c>
      <c r="F50" s="232">
        <v>156</v>
      </c>
      <c r="G50" s="99"/>
    </row>
    <row r="51" spans="1:7" ht="15.6" customHeight="1">
      <c r="B51" s="97"/>
      <c r="C51" s="97" t="s">
        <v>118</v>
      </c>
      <c r="D51" s="236">
        <v>2815</v>
      </c>
      <c r="E51" s="236">
        <v>2090</v>
      </c>
      <c r="F51" s="232">
        <v>725</v>
      </c>
      <c r="G51" s="99"/>
    </row>
    <row r="52" spans="1:7" ht="15.6" customHeight="1">
      <c r="B52" s="105"/>
      <c r="C52" s="105" t="s">
        <v>143</v>
      </c>
      <c r="D52" s="236">
        <v>1719</v>
      </c>
      <c r="E52" s="236">
        <v>1453</v>
      </c>
      <c r="F52" s="232">
        <v>266</v>
      </c>
      <c r="G52" s="106"/>
    </row>
    <row r="53" spans="1:7" ht="15.6" customHeight="1">
      <c r="A53" s="13"/>
      <c r="B53" s="107"/>
      <c r="C53" s="107" t="s">
        <v>17</v>
      </c>
      <c r="D53" s="237">
        <v>3987</v>
      </c>
      <c r="E53" s="238">
        <v>2805</v>
      </c>
      <c r="F53" s="238">
        <v>1182</v>
      </c>
      <c r="G53" s="110"/>
    </row>
    <row r="54" spans="1:7" ht="15.6" customHeight="1">
      <c r="B54" s="97"/>
      <c r="C54" s="97" t="s">
        <v>161</v>
      </c>
      <c r="D54" s="232">
        <v>26</v>
      </c>
      <c r="E54" s="232">
        <v>0</v>
      </c>
      <c r="F54" s="232">
        <v>26</v>
      </c>
      <c r="G54" s="99"/>
    </row>
    <row r="55" spans="1:7" ht="15.6" customHeight="1">
      <c r="B55" s="97"/>
      <c r="C55" s="97" t="s">
        <v>39</v>
      </c>
      <c r="D55" s="236">
        <v>1333</v>
      </c>
      <c r="E55" s="236">
        <v>1134</v>
      </c>
      <c r="F55" s="232">
        <v>199</v>
      </c>
      <c r="G55" s="99"/>
    </row>
    <row r="56" spans="1:7" ht="15.6" customHeight="1">
      <c r="B56" s="105"/>
      <c r="C56" s="105" t="s">
        <v>40</v>
      </c>
      <c r="D56" s="236">
        <v>2628</v>
      </c>
      <c r="E56" s="236">
        <v>1671</v>
      </c>
      <c r="F56" s="232">
        <v>957</v>
      </c>
      <c r="G56" s="106"/>
    </row>
    <row r="57" spans="1:7" ht="15.6" customHeight="1" thickBot="1">
      <c r="B57" s="124"/>
      <c r="C57" s="124" t="s">
        <v>119</v>
      </c>
      <c r="D57" s="243">
        <v>132642</v>
      </c>
      <c r="E57" s="243">
        <v>132642</v>
      </c>
      <c r="F57" s="244">
        <v>0</v>
      </c>
      <c r="G57" s="126"/>
    </row>
    <row r="58" spans="1:7" s="13" customFormat="1" ht="3" customHeight="1">
      <c r="B58" s="127"/>
      <c r="C58" s="97"/>
      <c r="D58" s="128"/>
      <c r="E58" s="128"/>
      <c r="F58" s="128"/>
      <c r="G58" s="129"/>
    </row>
    <row r="59" spans="1:7" s="24" customFormat="1" ht="11.25" customHeight="1">
      <c r="B59" s="130" t="s">
        <v>100</v>
      </c>
      <c r="C59" s="131"/>
      <c r="D59" s="132"/>
      <c r="E59" s="132"/>
      <c r="F59" s="133"/>
      <c r="G59" s="80"/>
    </row>
    <row r="60" spans="1:7" s="23" customFormat="1" ht="11.25">
      <c r="B60" s="134" t="s">
        <v>101</v>
      </c>
      <c r="C60" s="135"/>
      <c r="D60" s="136"/>
      <c r="E60" s="136"/>
      <c r="F60" s="137"/>
      <c r="G60" s="138"/>
    </row>
    <row r="61" spans="1:7" s="23" customFormat="1" ht="11.25" customHeight="1">
      <c r="B61" s="134" t="s">
        <v>102</v>
      </c>
      <c r="C61" s="139"/>
      <c r="D61" s="136"/>
      <c r="E61" s="132"/>
      <c r="F61" s="140"/>
      <c r="G61" s="79"/>
    </row>
    <row r="62" spans="1:7" s="23" customFormat="1" ht="14.1" customHeight="1">
      <c r="B62" s="134" t="s">
        <v>103</v>
      </c>
      <c r="C62" s="139"/>
      <c r="D62" s="136"/>
      <c r="E62" s="132"/>
      <c r="F62" s="140"/>
      <c r="G62" s="79"/>
    </row>
    <row r="63" spans="1:7" s="23" customFormat="1" ht="14.1" customHeight="1">
      <c r="B63" s="134" t="s">
        <v>104</v>
      </c>
      <c r="C63" s="139"/>
      <c r="D63" s="136"/>
      <c r="E63" s="132"/>
      <c r="F63" s="140"/>
      <c r="G63" s="79"/>
    </row>
    <row r="64" spans="1:7" s="17" customFormat="1" ht="17.100000000000001" customHeight="1">
      <c r="A64" s="23" t="s">
        <v>96</v>
      </c>
      <c r="B64" s="3" t="s">
        <v>96</v>
      </c>
      <c r="C64" s="27" t="s">
        <v>96</v>
      </c>
      <c r="D64" s="26" t="s">
        <v>96</v>
      </c>
      <c r="E64" s="25" t="s">
        <v>96</v>
      </c>
      <c r="F64" s="26" t="s">
        <v>96</v>
      </c>
      <c r="G64" s="23" t="s">
        <v>96</v>
      </c>
    </row>
    <row r="65" spans="4:6" ht="17.100000000000001" customHeight="1">
      <c r="D65" s="18"/>
      <c r="E65" s="19"/>
      <c r="F65" s="18"/>
    </row>
    <row r="66" spans="4:6" ht="17.100000000000001" customHeight="1">
      <c r="D66" s="18"/>
      <c r="E66" s="19"/>
      <c r="F66" s="18"/>
    </row>
  </sheetData>
  <mergeCells count="2">
    <mergeCell ref="B1:G1"/>
    <mergeCell ref="B2:G2"/>
  </mergeCells>
  <phoneticPr fontId="17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7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66"/>
  <sheetViews>
    <sheetView showGridLines="0" zoomScale="70" zoomScaleNormal="7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F5" sqref="F5:H57"/>
    </sheetView>
  </sheetViews>
  <sheetFormatPr defaultRowHeight="17.100000000000001" customHeight="1"/>
  <cols>
    <col min="1" max="1" width="1.28515625" style="10" customWidth="1"/>
    <col min="2" max="2" width="31.140625" style="20" bestFit="1" customWidth="1"/>
    <col min="3" max="3" width="29.7109375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18.7109375" style="13" customWidth="1"/>
    <col min="8" max="8" width="18.7109375" style="10" customWidth="1"/>
    <col min="9" max="9" width="2.28515625" style="10" customWidth="1"/>
    <col min="10" max="10" width="18.7109375" style="10" customWidth="1"/>
    <col min="11" max="11" width="18.7109375" style="13" customWidth="1"/>
    <col min="12" max="12" width="18.7109375" style="10" customWidth="1"/>
    <col min="13" max="16384" width="9.140625" style="9"/>
  </cols>
  <sheetData>
    <row r="1" spans="1:13" s="1" customFormat="1" ht="21.95" customHeight="1">
      <c r="A1" s="251" t="s">
        <v>105</v>
      </c>
      <c r="B1" s="251"/>
      <c r="C1" s="251"/>
      <c r="D1" s="251"/>
      <c r="E1" s="251"/>
      <c r="F1" s="251"/>
      <c r="G1" s="251"/>
      <c r="H1" s="251"/>
      <c r="I1" s="251"/>
      <c r="J1" s="141"/>
      <c r="K1" s="141"/>
      <c r="L1" s="141"/>
      <c r="M1" s="141"/>
    </row>
    <row r="2" spans="1:13" s="2" customFormat="1" ht="15" customHeight="1">
      <c r="A2" s="255"/>
      <c r="B2" s="256"/>
      <c r="C2" s="260" t="s">
        <v>172</v>
      </c>
      <c r="D2" s="261"/>
      <c r="E2" s="261"/>
      <c r="F2" s="260" t="s">
        <v>175</v>
      </c>
      <c r="G2" s="261"/>
      <c r="H2" s="261"/>
      <c r="I2" s="262"/>
      <c r="J2" s="259" t="s">
        <v>120</v>
      </c>
      <c r="K2" s="259"/>
      <c r="L2" s="259"/>
      <c r="M2" s="142"/>
    </row>
    <row r="3" spans="1:13" s="23" customFormat="1" ht="11.1" customHeight="1" thickBot="1">
      <c r="A3" s="257"/>
      <c r="B3" s="258"/>
      <c r="C3" s="253" t="s">
        <v>54</v>
      </c>
      <c r="D3" s="254"/>
      <c r="E3" s="254"/>
      <c r="F3" s="253" t="s">
        <v>54</v>
      </c>
      <c r="G3" s="254"/>
      <c r="H3" s="254"/>
      <c r="I3" s="143"/>
      <c r="J3" s="252" t="s">
        <v>54</v>
      </c>
      <c r="K3" s="252"/>
      <c r="L3" s="252"/>
      <c r="M3" s="144"/>
    </row>
    <row r="4" spans="1:13" s="6" customFormat="1" ht="15.6" customHeight="1">
      <c r="A4" s="145"/>
      <c r="B4" s="146" t="s">
        <v>95</v>
      </c>
      <c r="C4" s="147" t="s">
        <v>55</v>
      </c>
      <c r="D4" s="147" t="s">
        <v>56</v>
      </c>
      <c r="E4" s="147" t="s">
        <v>57</v>
      </c>
      <c r="F4" s="148" t="s">
        <v>55</v>
      </c>
      <c r="G4" s="147" t="s">
        <v>56</v>
      </c>
      <c r="H4" s="147" t="s">
        <v>57</v>
      </c>
      <c r="I4" s="149"/>
      <c r="J4" s="150" t="s">
        <v>55</v>
      </c>
      <c r="K4" s="150" t="s">
        <v>56</v>
      </c>
      <c r="L4" s="150" t="s">
        <v>57</v>
      </c>
      <c r="M4" s="151"/>
    </row>
    <row r="5" spans="1:13" s="7" customFormat="1" ht="20.100000000000001" customHeight="1">
      <c r="A5" s="152"/>
      <c r="B5" s="153" t="s">
        <v>106</v>
      </c>
      <c r="C5" s="199">
        <v>835411</v>
      </c>
      <c r="D5" s="199">
        <v>541875</v>
      </c>
      <c r="E5" s="199">
        <v>293536</v>
      </c>
      <c r="F5" s="199">
        <v>835702</v>
      </c>
      <c r="G5" s="199">
        <v>541568</v>
      </c>
      <c r="H5" s="199">
        <v>294134</v>
      </c>
      <c r="I5" s="154"/>
      <c r="J5" s="155">
        <f t="shared" ref="J5:J36" si="0">F5-C5</f>
        <v>291</v>
      </c>
      <c r="K5" s="155">
        <f t="shared" ref="K5:K36" si="1">G5-D5</f>
        <v>-307</v>
      </c>
      <c r="L5" s="155">
        <f t="shared" ref="L5:L36" si="2">H5-E5</f>
        <v>598</v>
      </c>
      <c r="M5" s="156"/>
    </row>
    <row r="6" spans="1:13" s="8" customFormat="1" ht="15" customHeight="1" thickBot="1">
      <c r="A6" s="157"/>
      <c r="B6" s="91" t="s">
        <v>107</v>
      </c>
      <c r="C6" s="197">
        <v>-63098</v>
      </c>
      <c r="D6" s="197">
        <v>-32848</v>
      </c>
      <c r="E6" s="197">
        <v>-30250</v>
      </c>
      <c r="F6" s="197">
        <v>-63094</v>
      </c>
      <c r="G6" s="197">
        <v>-32707</v>
      </c>
      <c r="H6" s="197">
        <v>-30387</v>
      </c>
      <c r="I6" s="158"/>
      <c r="J6" s="159">
        <f>(F6-C6)*-1</f>
        <v>-4</v>
      </c>
      <c r="K6" s="159">
        <f>(G6-D6)*-1</f>
        <v>-141</v>
      </c>
      <c r="L6" s="159">
        <f>(H6-E6)*-1</f>
        <v>137</v>
      </c>
      <c r="M6" s="93"/>
    </row>
    <row r="7" spans="1:13" ht="15.6" customHeight="1" thickTop="1">
      <c r="A7" s="94"/>
      <c r="B7" s="94" t="s">
        <v>108</v>
      </c>
      <c r="C7" s="200">
        <v>856</v>
      </c>
      <c r="D7" s="200">
        <v>0</v>
      </c>
      <c r="E7" s="200">
        <v>856</v>
      </c>
      <c r="F7" s="231">
        <v>855</v>
      </c>
      <c r="G7" s="231">
        <v>0</v>
      </c>
      <c r="H7" s="231">
        <v>855</v>
      </c>
      <c r="I7" s="160"/>
      <c r="J7" s="161">
        <f t="shared" si="0"/>
        <v>-1</v>
      </c>
      <c r="K7" s="161">
        <f t="shared" si="1"/>
        <v>0</v>
      </c>
      <c r="L7" s="161">
        <f t="shared" si="2"/>
        <v>-1</v>
      </c>
      <c r="M7" s="96"/>
    </row>
    <row r="8" spans="1:13" ht="15.6" customHeight="1">
      <c r="A8" s="97"/>
      <c r="B8" s="97" t="s">
        <v>0</v>
      </c>
      <c r="C8" s="201">
        <v>773</v>
      </c>
      <c r="D8" s="201">
        <v>0</v>
      </c>
      <c r="E8" s="201">
        <v>773</v>
      </c>
      <c r="F8" s="232">
        <v>772</v>
      </c>
      <c r="G8" s="232">
        <v>0</v>
      </c>
      <c r="H8" s="232">
        <v>772</v>
      </c>
      <c r="I8" s="162"/>
      <c r="J8" s="163">
        <f t="shared" si="0"/>
        <v>-1</v>
      </c>
      <c r="K8" s="163">
        <f t="shared" si="1"/>
        <v>0</v>
      </c>
      <c r="L8" s="163">
        <f t="shared" si="2"/>
        <v>-1</v>
      </c>
      <c r="M8" s="99"/>
    </row>
    <row r="9" spans="1:13" ht="15.6" customHeight="1">
      <c r="A9" s="97"/>
      <c r="B9" s="97" t="s">
        <v>1</v>
      </c>
      <c r="C9" s="201">
        <v>28</v>
      </c>
      <c r="D9" s="201">
        <v>0</v>
      </c>
      <c r="E9" s="201">
        <v>28</v>
      </c>
      <c r="F9" s="232">
        <v>28</v>
      </c>
      <c r="G9" s="232">
        <v>0</v>
      </c>
      <c r="H9" s="232">
        <v>28</v>
      </c>
      <c r="I9" s="162"/>
      <c r="J9" s="163">
        <f t="shared" si="0"/>
        <v>0</v>
      </c>
      <c r="K9" s="163">
        <f t="shared" si="1"/>
        <v>0</v>
      </c>
      <c r="L9" s="163">
        <f t="shared" si="2"/>
        <v>0</v>
      </c>
      <c r="M9" s="99"/>
    </row>
    <row r="10" spans="1:13" ht="15.6" customHeight="1">
      <c r="A10" s="97"/>
      <c r="B10" s="97" t="s">
        <v>2</v>
      </c>
      <c r="C10" s="201">
        <v>55</v>
      </c>
      <c r="D10" s="201">
        <v>0</v>
      </c>
      <c r="E10" s="201">
        <v>55</v>
      </c>
      <c r="F10" s="232">
        <v>55</v>
      </c>
      <c r="G10" s="232">
        <v>0</v>
      </c>
      <c r="H10" s="232">
        <v>55</v>
      </c>
      <c r="I10" s="164"/>
      <c r="J10" s="163">
        <f t="shared" si="0"/>
        <v>0</v>
      </c>
      <c r="K10" s="163">
        <f t="shared" si="1"/>
        <v>0</v>
      </c>
      <c r="L10" s="163">
        <f t="shared" si="2"/>
        <v>0</v>
      </c>
      <c r="M10" s="100"/>
    </row>
    <row r="11" spans="1:13" ht="15.6" customHeight="1">
      <c r="A11" s="101"/>
      <c r="B11" s="101" t="s">
        <v>3</v>
      </c>
      <c r="C11" s="202">
        <v>8257</v>
      </c>
      <c r="D11" s="203">
        <v>4</v>
      </c>
      <c r="E11" s="203">
        <v>8253</v>
      </c>
      <c r="F11" s="233">
        <v>8274</v>
      </c>
      <c r="G11" s="234">
        <v>4</v>
      </c>
      <c r="H11" s="235">
        <v>8270</v>
      </c>
      <c r="I11" s="165"/>
      <c r="J11" s="166">
        <f t="shared" si="0"/>
        <v>17</v>
      </c>
      <c r="K11" s="167">
        <f t="shared" si="1"/>
        <v>0</v>
      </c>
      <c r="L11" s="167">
        <f t="shared" si="2"/>
        <v>17</v>
      </c>
      <c r="M11" s="104"/>
    </row>
    <row r="12" spans="1:13" ht="15.6" customHeight="1">
      <c r="A12" s="97"/>
      <c r="B12" s="97" t="s">
        <v>0</v>
      </c>
      <c r="C12" s="201">
        <v>4517</v>
      </c>
      <c r="D12" s="201">
        <v>3</v>
      </c>
      <c r="E12" s="201">
        <v>4514</v>
      </c>
      <c r="F12" s="236">
        <v>4520</v>
      </c>
      <c r="G12" s="232">
        <v>3</v>
      </c>
      <c r="H12" s="236">
        <v>4517</v>
      </c>
      <c r="I12" s="162"/>
      <c r="J12" s="163">
        <f t="shared" si="0"/>
        <v>3</v>
      </c>
      <c r="K12" s="163">
        <f t="shared" si="1"/>
        <v>0</v>
      </c>
      <c r="L12" s="163">
        <f t="shared" si="2"/>
        <v>3</v>
      </c>
      <c r="M12" s="99"/>
    </row>
    <row r="13" spans="1:13" ht="15.6" customHeight="1">
      <c r="A13" s="97"/>
      <c r="B13" s="97" t="s">
        <v>1</v>
      </c>
      <c r="C13" s="201">
        <v>796</v>
      </c>
      <c r="D13" s="201">
        <v>0</v>
      </c>
      <c r="E13" s="201">
        <v>796</v>
      </c>
      <c r="F13" s="232">
        <v>796</v>
      </c>
      <c r="G13" s="232">
        <v>0</v>
      </c>
      <c r="H13" s="232">
        <v>796</v>
      </c>
      <c r="I13" s="162"/>
      <c r="J13" s="163">
        <f t="shared" si="0"/>
        <v>0</v>
      </c>
      <c r="K13" s="163">
        <f t="shared" si="1"/>
        <v>0</v>
      </c>
      <c r="L13" s="163">
        <f t="shared" si="2"/>
        <v>0</v>
      </c>
      <c r="M13" s="99"/>
    </row>
    <row r="14" spans="1:13" ht="15.6" customHeight="1">
      <c r="A14" s="105"/>
      <c r="B14" s="105" t="s">
        <v>2</v>
      </c>
      <c r="C14" s="201">
        <v>2944</v>
      </c>
      <c r="D14" s="201">
        <v>1</v>
      </c>
      <c r="E14" s="201">
        <v>2943</v>
      </c>
      <c r="F14" s="236">
        <v>2958</v>
      </c>
      <c r="G14" s="232">
        <v>1</v>
      </c>
      <c r="H14" s="236">
        <v>2957</v>
      </c>
      <c r="I14" s="168"/>
      <c r="J14" s="163">
        <f t="shared" si="0"/>
        <v>14</v>
      </c>
      <c r="K14" s="163">
        <f t="shared" si="1"/>
        <v>0</v>
      </c>
      <c r="L14" s="163">
        <f t="shared" si="2"/>
        <v>14</v>
      </c>
      <c r="M14" s="106"/>
    </row>
    <row r="15" spans="1:13" ht="15.6" customHeight="1">
      <c r="A15" s="107"/>
      <c r="B15" s="107" t="s">
        <v>109</v>
      </c>
      <c r="C15" s="204">
        <v>282128</v>
      </c>
      <c r="D15" s="205">
        <v>103967</v>
      </c>
      <c r="E15" s="205">
        <v>178161</v>
      </c>
      <c r="F15" s="237">
        <v>282467</v>
      </c>
      <c r="G15" s="238">
        <v>103959</v>
      </c>
      <c r="H15" s="238">
        <v>178508</v>
      </c>
      <c r="I15" s="169"/>
      <c r="J15" s="170">
        <f t="shared" si="0"/>
        <v>339</v>
      </c>
      <c r="K15" s="171">
        <f t="shared" si="1"/>
        <v>-8</v>
      </c>
      <c r="L15" s="171">
        <f t="shared" si="2"/>
        <v>347</v>
      </c>
      <c r="M15" s="110"/>
    </row>
    <row r="16" spans="1:13" ht="15.6" customHeight="1">
      <c r="A16" s="97"/>
      <c r="B16" s="97" t="s">
        <v>4</v>
      </c>
      <c r="C16" s="201">
        <v>34207</v>
      </c>
      <c r="D16" s="201">
        <v>0</v>
      </c>
      <c r="E16" s="201">
        <v>34207</v>
      </c>
      <c r="F16" s="236">
        <v>34186</v>
      </c>
      <c r="G16" s="232">
        <v>0</v>
      </c>
      <c r="H16" s="236">
        <v>34186</v>
      </c>
      <c r="I16" s="162"/>
      <c r="J16" s="163">
        <f t="shared" si="0"/>
        <v>-21</v>
      </c>
      <c r="K16" s="163">
        <f t="shared" si="1"/>
        <v>0</v>
      </c>
      <c r="L16" s="163">
        <f t="shared" si="2"/>
        <v>-21</v>
      </c>
      <c r="M16" s="99"/>
    </row>
    <row r="17" spans="1:13" ht="15.6" customHeight="1">
      <c r="A17" s="97"/>
      <c r="B17" s="97" t="s">
        <v>5</v>
      </c>
      <c r="C17" s="201">
        <v>165409</v>
      </c>
      <c r="D17" s="201">
        <v>55713</v>
      </c>
      <c r="E17" s="201">
        <v>109696</v>
      </c>
      <c r="F17" s="236">
        <v>165746</v>
      </c>
      <c r="G17" s="236">
        <v>55724</v>
      </c>
      <c r="H17" s="236">
        <v>110022</v>
      </c>
      <c r="I17" s="162"/>
      <c r="J17" s="163">
        <f t="shared" si="0"/>
        <v>337</v>
      </c>
      <c r="K17" s="163">
        <f t="shared" si="1"/>
        <v>11</v>
      </c>
      <c r="L17" s="163">
        <f t="shared" si="2"/>
        <v>326</v>
      </c>
      <c r="M17" s="99"/>
    </row>
    <row r="18" spans="1:13" ht="15.6" customHeight="1">
      <c r="A18" s="97"/>
      <c r="B18" s="97" t="s">
        <v>6</v>
      </c>
      <c r="C18" s="201">
        <v>14558</v>
      </c>
      <c r="D18" s="201">
        <v>0</v>
      </c>
      <c r="E18" s="201">
        <v>14558</v>
      </c>
      <c r="F18" s="236">
        <v>14541</v>
      </c>
      <c r="G18" s="232">
        <v>0</v>
      </c>
      <c r="H18" s="236">
        <v>14541</v>
      </c>
      <c r="I18" s="162"/>
      <c r="J18" s="163">
        <f t="shared" si="0"/>
        <v>-17</v>
      </c>
      <c r="K18" s="163">
        <f t="shared" si="1"/>
        <v>0</v>
      </c>
      <c r="L18" s="163">
        <f t="shared" si="2"/>
        <v>-17</v>
      </c>
      <c r="M18" s="99"/>
    </row>
    <row r="19" spans="1:13" ht="15.6" customHeight="1">
      <c r="A19" s="97"/>
      <c r="B19" s="97" t="s">
        <v>7</v>
      </c>
      <c r="C19" s="201">
        <v>67954</v>
      </c>
      <c r="D19" s="201">
        <v>48254</v>
      </c>
      <c r="E19" s="201">
        <v>19700</v>
      </c>
      <c r="F19" s="236">
        <v>67994</v>
      </c>
      <c r="G19" s="236">
        <v>48235</v>
      </c>
      <c r="H19" s="236">
        <v>19759</v>
      </c>
      <c r="I19" s="162"/>
      <c r="J19" s="163">
        <f t="shared" si="0"/>
        <v>40</v>
      </c>
      <c r="K19" s="163">
        <f t="shared" si="1"/>
        <v>-19</v>
      </c>
      <c r="L19" s="163">
        <f t="shared" si="2"/>
        <v>59</v>
      </c>
      <c r="M19" s="99"/>
    </row>
    <row r="20" spans="1:13" s="12" customFormat="1" ht="16.5">
      <c r="A20" s="172"/>
      <c r="B20" s="173" t="s">
        <v>110</v>
      </c>
      <c r="C20" s="198">
        <v>-63098</v>
      </c>
      <c r="D20" s="198">
        <v>-32848</v>
      </c>
      <c r="E20" s="198">
        <v>-30250</v>
      </c>
      <c r="F20" s="198">
        <v>-63094</v>
      </c>
      <c r="G20" s="198">
        <v>-32707</v>
      </c>
      <c r="H20" s="198">
        <v>-30387</v>
      </c>
      <c r="I20" s="174"/>
      <c r="J20" s="175">
        <f>(F20-C20)*-1</f>
        <v>-4</v>
      </c>
      <c r="K20" s="175">
        <f>(G20-D20)*-1</f>
        <v>-141</v>
      </c>
      <c r="L20" s="175">
        <f>(H20-E20)*-1</f>
        <v>137</v>
      </c>
      <c r="M20" s="176"/>
    </row>
    <row r="21" spans="1:13" ht="15.6" customHeight="1">
      <c r="A21" s="114"/>
      <c r="B21" s="114" t="s">
        <v>8</v>
      </c>
      <c r="C21" s="206">
        <v>91028</v>
      </c>
      <c r="D21" s="206">
        <v>10489</v>
      </c>
      <c r="E21" s="206">
        <v>80539</v>
      </c>
      <c r="F21" s="239">
        <v>91116</v>
      </c>
      <c r="G21" s="239">
        <v>10408</v>
      </c>
      <c r="H21" s="239">
        <v>80708</v>
      </c>
      <c r="I21" s="177"/>
      <c r="J21" s="178">
        <f t="shared" si="0"/>
        <v>88</v>
      </c>
      <c r="K21" s="178">
        <f t="shared" si="1"/>
        <v>-81</v>
      </c>
      <c r="L21" s="178">
        <f t="shared" si="2"/>
        <v>169</v>
      </c>
      <c r="M21" s="116"/>
    </row>
    <row r="22" spans="1:13" ht="15.6" customHeight="1">
      <c r="A22" s="114"/>
      <c r="B22" s="114" t="s">
        <v>9</v>
      </c>
      <c r="C22" s="206">
        <v>52332</v>
      </c>
      <c r="D22" s="206">
        <v>44893</v>
      </c>
      <c r="E22" s="206">
        <v>7439</v>
      </c>
      <c r="F22" s="239">
        <v>52450</v>
      </c>
      <c r="G22" s="239">
        <v>44977</v>
      </c>
      <c r="H22" s="239">
        <v>7473</v>
      </c>
      <c r="I22" s="177"/>
      <c r="J22" s="178">
        <f t="shared" si="0"/>
        <v>118</v>
      </c>
      <c r="K22" s="178">
        <f t="shared" si="1"/>
        <v>84</v>
      </c>
      <c r="L22" s="178">
        <f t="shared" si="2"/>
        <v>34</v>
      </c>
      <c r="M22" s="116"/>
    </row>
    <row r="23" spans="1:13" ht="15.6" customHeight="1">
      <c r="A23" s="114"/>
      <c r="B23" s="114" t="s">
        <v>26</v>
      </c>
      <c r="C23" s="206">
        <v>286</v>
      </c>
      <c r="D23" s="206">
        <v>6</v>
      </c>
      <c r="E23" s="206">
        <v>280</v>
      </c>
      <c r="F23" s="240">
        <v>286</v>
      </c>
      <c r="G23" s="240">
        <v>6</v>
      </c>
      <c r="H23" s="240">
        <v>280</v>
      </c>
      <c r="I23" s="177"/>
      <c r="J23" s="178">
        <f t="shared" si="0"/>
        <v>0</v>
      </c>
      <c r="K23" s="178">
        <f t="shared" si="1"/>
        <v>0</v>
      </c>
      <c r="L23" s="178">
        <f t="shared" si="2"/>
        <v>0</v>
      </c>
      <c r="M23" s="116"/>
    </row>
    <row r="24" spans="1:13" ht="15.6" customHeight="1">
      <c r="A24" s="107"/>
      <c r="B24" s="107" t="s">
        <v>10</v>
      </c>
      <c r="C24" s="204">
        <v>900</v>
      </c>
      <c r="D24" s="205">
        <v>345</v>
      </c>
      <c r="E24" s="205">
        <v>555</v>
      </c>
      <c r="F24" s="241">
        <v>944</v>
      </c>
      <c r="G24" s="242">
        <v>380</v>
      </c>
      <c r="H24" s="242">
        <v>564</v>
      </c>
      <c r="I24" s="169"/>
      <c r="J24" s="170">
        <f t="shared" si="0"/>
        <v>44</v>
      </c>
      <c r="K24" s="171">
        <f t="shared" si="1"/>
        <v>35</v>
      </c>
      <c r="L24" s="171">
        <f t="shared" si="2"/>
        <v>9</v>
      </c>
      <c r="M24" s="110"/>
    </row>
    <row r="25" spans="1:13" ht="15.6" customHeight="1">
      <c r="A25" s="117"/>
      <c r="B25" s="117" t="s">
        <v>111</v>
      </c>
      <c r="C25" s="201">
        <v>29</v>
      </c>
      <c r="D25" s="201">
        <v>0</v>
      </c>
      <c r="E25" s="201">
        <v>29</v>
      </c>
      <c r="F25" s="232">
        <v>29</v>
      </c>
      <c r="G25" s="232">
        <v>0</v>
      </c>
      <c r="H25" s="232">
        <v>29</v>
      </c>
      <c r="I25" s="162"/>
      <c r="J25" s="163">
        <f t="shared" si="0"/>
        <v>0</v>
      </c>
      <c r="K25" s="163">
        <f t="shared" si="1"/>
        <v>0</v>
      </c>
      <c r="L25" s="163">
        <f t="shared" si="2"/>
        <v>0</v>
      </c>
      <c r="M25" s="99"/>
    </row>
    <row r="26" spans="1:13" ht="15.6" customHeight="1">
      <c r="A26" s="117"/>
      <c r="B26" s="117" t="s">
        <v>112</v>
      </c>
      <c r="C26" s="201">
        <v>348</v>
      </c>
      <c r="D26" s="201">
        <v>116</v>
      </c>
      <c r="E26" s="201">
        <v>232</v>
      </c>
      <c r="F26" s="232">
        <v>348</v>
      </c>
      <c r="G26" s="232">
        <v>116</v>
      </c>
      <c r="H26" s="232">
        <v>232</v>
      </c>
      <c r="I26" s="162"/>
      <c r="J26" s="163">
        <f t="shared" si="0"/>
        <v>0</v>
      </c>
      <c r="K26" s="163">
        <f t="shared" si="1"/>
        <v>0</v>
      </c>
      <c r="L26" s="163">
        <f t="shared" si="2"/>
        <v>0</v>
      </c>
      <c r="M26" s="99"/>
    </row>
    <row r="27" spans="1:13" ht="15.6" customHeight="1">
      <c r="A27" s="118"/>
      <c r="B27" s="118" t="s">
        <v>113</v>
      </c>
      <c r="C27" s="201">
        <v>523</v>
      </c>
      <c r="D27" s="201">
        <v>229</v>
      </c>
      <c r="E27" s="201">
        <v>294</v>
      </c>
      <c r="F27" s="232">
        <v>567</v>
      </c>
      <c r="G27" s="232">
        <v>264</v>
      </c>
      <c r="H27" s="232">
        <v>303</v>
      </c>
      <c r="I27" s="168"/>
      <c r="J27" s="163">
        <f t="shared" si="0"/>
        <v>44</v>
      </c>
      <c r="K27" s="163">
        <f t="shared" si="1"/>
        <v>35</v>
      </c>
      <c r="L27" s="163">
        <f t="shared" si="2"/>
        <v>9</v>
      </c>
      <c r="M27" s="106"/>
    </row>
    <row r="28" spans="1:13" ht="15.6" customHeight="1">
      <c r="A28" s="107"/>
      <c r="B28" s="107" t="s">
        <v>167</v>
      </c>
      <c r="C28" s="204">
        <v>14574</v>
      </c>
      <c r="D28" s="205">
        <v>3074</v>
      </c>
      <c r="E28" s="205">
        <v>11500</v>
      </c>
      <c r="F28" s="237">
        <v>14572</v>
      </c>
      <c r="G28" s="238">
        <v>3066</v>
      </c>
      <c r="H28" s="238">
        <v>11506</v>
      </c>
      <c r="I28" s="169"/>
      <c r="J28" s="170">
        <f t="shared" si="0"/>
        <v>-2</v>
      </c>
      <c r="K28" s="171">
        <f t="shared" si="1"/>
        <v>-8</v>
      </c>
      <c r="L28" s="171">
        <f t="shared" si="2"/>
        <v>6</v>
      </c>
      <c r="M28" s="110"/>
    </row>
    <row r="29" spans="1:13" ht="15.6" customHeight="1">
      <c r="A29" s="117"/>
      <c r="B29" s="117" t="s">
        <v>11</v>
      </c>
      <c r="C29" s="201">
        <v>8610</v>
      </c>
      <c r="D29" s="201">
        <v>0</v>
      </c>
      <c r="E29" s="201">
        <v>8610</v>
      </c>
      <c r="F29" s="236">
        <v>8609</v>
      </c>
      <c r="G29" s="232">
        <v>0</v>
      </c>
      <c r="H29" s="236">
        <v>8609</v>
      </c>
      <c r="I29" s="162"/>
      <c r="J29" s="163">
        <f t="shared" si="0"/>
        <v>-1</v>
      </c>
      <c r="K29" s="163">
        <f t="shared" si="1"/>
        <v>0</v>
      </c>
      <c r="L29" s="163">
        <f t="shared" si="2"/>
        <v>-1</v>
      </c>
      <c r="M29" s="99"/>
    </row>
    <row r="30" spans="1:13" ht="15.6" customHeight="1">
      <c r="A30" s="119"/>
      <c r="B30" s="119" t="s">
        <v>12</v>
      </c>
      <c r="C30" s="201">
        <v>5964</v>
      </c>
      <c r="D30" s="201">
        <v>3074</v>
      </c>
      <c r="E30" s="201">
        <v>2890</v>
      </c>
      <c r="F30" s="236">
        <v>5963</v>
      </c>
      <c r="G30" s="236">
        <v>3066</v>
      </c>
      <c r="H30" s="236">
        <v>2897</v>
      </c>
      <c r="I30" s="168"/>
      <c r="J30" s="163">
        <f t="shared" si="0"/>
        <v>-1</v>
      </c>
      <c r="K30" s="163">
        <f t="shared" si="1"/>
        <v>-8</v>
      </c>
      <c r="L30" s="163">
        <f t="shared" si="2"/>
        <v>7</v>
      </c>
      <c r="M30" s="106"/>
    </row>
    <row r="31" spans="1:13" ht="15.6" customHeight="1">
      <c r="A31" s="120"/>
      <c r="B31" s="120" t="s">
        <v>30</v>
      </c>
      <c r="C31" s="206">
        <v>16</v>
      </c>
      <c r="D31" s="206">
        <v>0</v>
      </c>
      <c r="E31" s="206">
        <v>16</v>
      </c>
      <c r="F31" s="240">
        <v>16</v>
      </c>
      <c r="G31" s="240">
        <v>0</v>
      </c>
      <c r="H31" s="240">
        <v>16</v>
      </c>
      <c r="I31" s="177"/>
      <c r="J31" s="178">
        <f t="shared" si="0"/>
        <v>0</v>
      </c>
      <c r="K31" s="178">
        <f t="shared" si="1"/>
        <v>0</v>
      </c>
      <c r="L31" s="178">
        <f t="shared" si="2"/>
        <v>0</v>
      </c>
      <c r="M31" s="116"/>
    </row>
    <row r="32" spans="1:13" ht="15.6" customHeight="1">
      <c r="A32" s="120"/>
      <c r="B32" s="120" t="s">
        <v>13</v>
      </c>
      <c r="C32" s="206">
        <v>367</v>
      </c>
      <c r="D32" s="206">
        <v>13</v>
      </c>
      <c r="E32" s="206">
        <v>354</v>
      </c>
      <c r="F32" s="240">
        <v>367</v>
      </c>
      <c r="G32" s="240">
        <v>13</v>
      </c>
      <c r="H32" s="240">
        <v>354</v>
      </c>
      <c r="I32" s="177"/>
      <c r="J32" s="178">
        <f t="shared" si="0"/>
        <v>0</v>
      </c>
      <c r="K32" s="178">
        <f t="shared" si="1"/>
        <v>0</v>
      </c>
      <c r="L32" s="178">
        <f t="shared" si="2"/>
        <v>0</v>
      </c>
      <c r="M32" s="116"/>
    </row>
    <row r="33" spans="1:13" ht="15.6" customHeight="1">
      <c r="A33" s="107"/>
      <c r="B33" s="107" t="s">
        <v>14</v>
      </c>
      <c r="C33" s="204">
        <v>2819</v>
      </c>
      <c r="D33" s="205">
        <v>2199</v>
      </c>
      <c r="E33" s="205">
        <v>620</v>
      </c>
      <c r="F33" s="237">
        <v>2819</v>
      </c>
      <c r="G33" s="238">
        <v>2197</v>
      </c>
      <c r="H33" s="242">
        <v>622</v>
      </c>
      <c r="I33" s="169"/>
      <c r="J33" s="170">
        <f t="shared" si="0"/>
        <v>0</v>
      </c>
      <c r="K33" s="171">
        <f t="shared" si="1"/>
        <v>-2</v>
      </c>
      <c r="L33" s="171">
        <f t="shared" si="2"/>
        <v>2</v>
      </c>
      <c r="M33" s="110"/>
    </row>
    <row r="34" spans="1:13" ht="15.6" customHeight="1">
      <c r="A34" s="117"/>
      <c r="B34" s="117" t="s">
        <v>32</v>
      </c>
      <c r="C34" s="201">
        <v>177</v>
      </c>
      <c r="D34" s="201">
        <v>0</v>
      </c>
      <c r="E34" s="201">
        <v>177</v>
      </c>
      <c r="F34" s="232">
        <v>177</v>
      </c>
      <c r="G34" s="232">
        <v>0</v>
      </c>
      <c r="H34" s="232">
        <v>177</v>
      </c>
      <c r="I34" s="162"/>
      <c r="J34" s="163">
        <f t="shared" si="0"/>
        <v>0</v>
      </c>
      <c r="K34" s="163">
        <f t="shared" si="1"/>
        <v>0</v>
      </c>
      <c r="L34" s="163">
        <f t="shared" si="2"/>
        <v>0</v>
      </c>
      <c r="M34" s="99"/>
    </row>
    <row r="35" spans="1:13" ht="15.6" customHeight="1">
      <c r="A35" s="117"/>
      <c r="B35" s="117" t="s">
        <v>33</v>
      </c>
      <c r="C35" s="201">
        <v>1845</v>
      </c>
      <c r="D35" s="201">
        <v>1722</v>
      </c>
      <c r="E35" s="201">
        <v>123</v>
      </c>
      <c r="F35" s="236">
        <v>1845</v>
      </c>
      <c r="G35" s="236">
        <v>1721</v>
      </c>
      <c r="H35" s="232">
        <v>124</v>
      </c>
      <c r="I35" s="162"/>
      <c r="J35" s="163">
        <f t="shared" si="0"/>
        <v>0</v>
      </c>
      <c r="K35" s="163">
        <f t="shared" si="1"/>
        <v>-1</v>
      </c>
      <c r="L35" s="163">
        <f t="shared" si="2"/>
        <v>1</v>
      </c>
      <c r="M35" s="99"/>
    </row>
    <row r="36" spans="1:13" ht="15.6" customHeight="1">
      <c r="A36" s="117"/>
      <c r="B36" s="117" t="s">
        <v>34</v>
      </c>
      <c r="C36" s="201">
        <v>215</v>
      </c>
      <c r="D36" s="201">
        <v>0</v>
      </c>
      <c r="E36" s="201">
        <v>215</v>
      </c>
      <c r="F36" s="232">
        <v>215</v>
      </c>
      <c r="G36" s="232">
        <v>0</v>
      </c>
      <c r="H36" s="232">
        <v>215</v>
      </c>
      <c r="I36" s="162"/>
      <c r="J36" s="163">
        <f t="shared" si="0"/>
        <v>0</v>
      </c>
      <c r="K36" s="163">
        <f t="shared" si="1"/>
        <v>0</v>
      </c>
      <c r="L36" s="163">
        <f t="shared" si="2"/>
        <v>0</v>
      </c>
      <c r="M36" s="99"/>
    </row>
    <row r="37" spans="1:13" ht="15.6" customHeight="1">
      <c r="A37" s="118"/>
      <c r="B37" s="118" t="s">
        <v>35</v>
      </c>
      <c r="C37" s="201">
        <v>582</v>
      </c>
      <c r="D37" s="201">
        <v>477</v>
      </c>
      <c r="E37" s="201">
        <v>105</v>
      </c>
      <c r="F37" s="232">
        <v>582</v>
      </c>
      <c r="G37" s="232">
        <v>476</v>
      </c>
      <c r="H37" s="232">
        <v>106</v>
      </c>
      <c r="I37" s="168"/>
      <c r="J37" s="163">
        <f t="shared" ref="J37:J57" si="3">F37-C37</f>
        <v>0</v>
      </c>
      <c r="K37" s="163">
        <f t="shared" ref="K37:K57" si="4">G37-D37</f>
        <v>-1</v>
      </c>
      <c r="L37" s="163">
        <f t="shared" ref="L37:L57" si="5">H37-E37</f>
        <v>1</v>
      </c>
      <c r="M37" s="106"/>
    </row>
    <row r="38" spans="1:13" ht="15.6" customHeight="1">
      <c r="A38" s="107"/>
      <c r="B38" s="107" t="s">
        <v>114</v>
      </c>
      <c r="C38" s="204">
        <v>9431</v>
      </c>
      <c r="D38" s="205">
        <v>6793</v>
      </c>
      <c r="E38" s="205">
        <v>2638</v>
      </c>
      <c r="F38" s="237">
        <v>9478</v>
      </c>
      <c r="G38" s="238">
        <v>6829</v>
      </c>
      <c r="H38" s="238">
        <v>2649</v>
      </c>
      <c r="I38" s="169"/>
      <c r="J38" s="170">
        <f t="shared" si="3"/>
        <v>47</v>
      </c>
      <c r="K38" s="171">
        <f t="shared" si="4"/>
        <v>36</v>
      </c>
      <c r="L38" s="171">
        <f t="shared" si="5"/>
        <v>11</v>
      </c>
      <c r="M38" s="110"/>
    </row>
    <row r="39" spans="1:13" s="29" customFormat="1" ht="15.6" customHeight="1">
      <c r="A39" s="121"/>
      <c r="B39" s="121" t="s">
        <v>115</v>
      </c>
      <c r="C39" s="201">
        <v>1672</v>
      </c>
      <c r="D39" s="201">
        <v>0</v>
      </c>
      <c r="E39" s="201">
        <v>1672</v>
      </c>
      <c r="F39" s="236">
        <v>1676</v>
      </c>
      <c r="G39" s="232">
        <v>0</v>
      </c>
      <c r="H39" s="236">
        <v>1676</v>
      </c>
      <c r="I39" s="179"/>
      <c r="J39" s="180">
        <f t="shared" si="3"/>
        <v>4</v>
      </c>
      <c r="K39" s="180">
        <f t="shared" si="4"/>
        <v>0</v>
      </c>
      <c r="L39" s="180">
        <f t="shared" si="5"/>
        <v>4</v>
      </c>
      <c r="M39" s="123"/>
    </row>
    <row r="40" spans="1:13" ht="15.6" customHeight="1">
      <c r="A40" s="117"/>
      <c r="B40" s="117" t="s">
        <v>49</v>
      </c>
      <c r="C40" s="201">
        <v>7197</v>
      </c>
      <c r="D40" s="201">
        <v>6546</v>
      </c>
      <c r="E40" s="201">
        <v>651</v>
      </c>
      <c r="F40" s="236">
        <v>7237</v>
      </c>
      <c r="G40" s="236">
        <v>6581</v>
      </c>
      <c r="H40" s="232">
        <v>656</v>
      </c>
      <c r="I40" s="162"/>
      <c r="J40" s="163">
        <f t="shared" si="3"/>
        <v>40</v>
      </c>
      <c r="K40" s="163">
        <f t="shared" si="4"/>
        <v>35</v>
      </c>
      <c r="L40" s="163">
        <f t="shared" si="5"/>
        <v>5</v>
      </c>
      <c r="M40" s="99"/>
    </row>
    <row r="41" spans="1:13" ht="15.6" customHeight="1">
      <c r="A41" s="117"/>
      <c r="B41" s="117" t="s">
        <v>116</v>
      </c>
      <c r="C41" s="201">
        <v>291</v>
      </c>
      <c r="D41" s="201">
        <v>0</v>
      </c>
      <c r="E41" s="201">
        <v>291</v>
      </c>
      <c r="F41" s="232">
        <v>293</v>
      </c>
      <c r="G41" s="232">
        <v>0</v>
      </c>
      <c r="H41" s="232">
        <v>293</v>
      </c>
      <c r="I41" s="162"/>
      <c r="J41" s="163">
        <f t="shared" si="3"/>
        <v>2</v>
      </c>
      <c r="K41" s="163">
        <f t="shared" si="4"/>
        <v>0</v>
      </c>
      <c r="L41" s="163">
        <f t="shared" si="5"/>
        <v>2</v>
      </c>
      <c r="M41" s="99"/>
    </row>
    <row r="42" spans="1:13" ht="15.6" customHeight="1">
      <c r="A42" s="118"/>
      <c r="B42" s="118" t="s">
        <v>51</v>
      </c>
      <c r="C42" s="201">
        <v>271</v>
      </c>
      <c r="D42" s="201">
        <v>247</v>
      </c>
      <c r="E42" s="201">
        <v>24</v>
      </c>
      <c r="F42" s="232">
        <v>272</v>
      </c>
      <c r="G42" s="232">
        <v>248</v>
      </c>
      <c r="H42" s="232">
        <v>24</v>
      </c>
      <c r="I42" s="168"/>
      <c r="J42" s="163">
        <f t="shared" si="3"/>
        <v>1</v>
      </c>
      <c r="K42" s="163">
        <f t="shared" si="4"/>
        <v>1</v>
      </c>
      <c r="L42" s="163">
        <f t="shared" si="5"/>
        <v>0</v>
      </c>
      <c r="M42" s="106"/>
    </row>
    <row r="43" spans="1:13" ht="15.6" customHeight="1">
      <c r="A43" s="107"/>
      <c r="B43" s="107" t="s">
        <v>15</v>
      </c>
      <c r="C43" s="205">
        <v>185351</v>
      </c>
      <c r="D43" s="205">
        <v>185351</v>
      </c>
      <c r="E43" s="205">
        <v>0</v>
      </c>
      <c r="F43" s="237">
        <v>184580</v>
      </c>
      <c r="G43" s="238">
        <v>184580</v>
      </c>
      <c r="H43" s="242">
        <v>0</v>
      </c>
      <c r="I43" s="169"/>
      <c r="J43" s="170">
        <f t="shared" si="3"/>
        <v>-771</v>
      </c>
      <c r="K43" s="171">
        <f t="shared" si="4"/>
        <v>-771</v>
      </c>
      <c r="L43" s="171">
        <f t="shared" si="5"/>
        <v>0</v>
      </c>
      <c r="M43" s="110"/>
    </row>
    <row r="44" spans="1:13" ht="15.6" customHeight="1">
      <c r="A44" s="117"/>
      <c r="B44" s="117" t="s">
        <v>153</v>
      </c>
      <c r="C44" s="201">
        <v>24558</v>
      </c>
      <c r="D44" s="201">
        <v>24558</v>
      </c>
      <c r="E44" s="201">
        <v>0</v>
      </c>
      <c r="F44" s="236">
        <v>24230</v>
      </c>
      <c r="G44" s="236">
        <v>24230</v>
      </c>
      <c r="H44" s="232">
        <v>0</v>
      </c>
      <c r="I44" s="162"/>
      <c r="J44" s="163">
        <f t="shared" si="3"/>
        <v>-328</v>
      </c>
      <c r="K44" s="163">
        <f t="shared" si="4"/>
        <v>-328</v>
      </c>
      <c r="L44" s="163">
        <f t="shared" si="5"/>
        <v>0</v>
      </c>
      <c r="M44" s="99"/>
    </row>
    <row r="45" spans="1:13" ht="15.6" customHeight="1">
      <c r="A45" s="117"/>
      <c r="B45" s="117" t="s">
        <v>37</v>
      </c>
      <c r="C45" s="201">
        <v>159975</v>
      </c>
      <c r="D45" s="201">
        <v>159975</v>
      </c>
      <c r="E45" s="201">
        <v>0</v>
      </c>
      <c r="F45" s="236">
        <v>159540</v>
      </c>
      <c r="G45" s="236">
        <v>159540</v>
      </c>
      <c r="H45" s="232">
        <v>0</v>
      </c>
      <c r="I45" s="162"/>
      <c r="J45" s="163">
        <f t="shared" si="3"/>
        <v>-435</v>
      </c>
      <c r="K45" s="163">
        <f t="shared" si="4"/>
        <v>-435</v>
      </c>
      <c r="L45" s="163">
        <f t="shared" si="5"/>
        <v>0</v>
      </c>
      <c r="M45" s="99"/>
    </row>
    <row r="46" spans="1:13" ht="15.6" customHeight="1">
      <c r="A46" s="118"/>
      <c r="B46" s="118" t="s">
        <v>155</v>
      </c>
      <c r="C46" s="201">
        <v>818</v>
      </c>
      <c r="D46" s="201">
        <v>818</v>
      </c>
      <c r="E46" s="201">
        <v>0</v>
      </c>
      <c r="F46" s="236">
        <v>810</v>
      </c>
      <c r="G46" s="236">
        <v>810</v>
      </c>
      <c r="H46" s="232">
        <v>0</v>
      </c>
      <c r="I46" s="168"/>
      <c r="J46" s="163">
        <f t="shared" si="3"/>
        <v>-8</v>
      </c>
      <c r="K46" s="163">
        <f t="shared" si="4"/>
        <v>-8</v>
      </c>
      <c r="L46" s="163">
        <f t="shared" si="5"/>
        <v>0</v>
      </c>
      <c r="M46" s="106"/>
    </row>
    <row r="47" spans="1:13" ht="15.6" customHeight="1">
      <c r="A47" s="114"/>
      <c r="B47" s="114" t="s">
        <v>52</v>
      </c>
      <c r="C47" s="206">
        <v>46042</v>
      </c>
      <c r="D47" s="206">
        <v>46042</v>
      </c>
      <c r="E47" s="206">
        <v>0</v>
      </c>
      <c r="F47" s="239">
        <v>45957</v>
      </c>
      <c r="G47" s="239">
        <v>45957</v>
      </c>
      <c r="H47" s="240">
        <v>0</v>
      </c>
      <c r="I47" s="177"/>
      <c r="J47" s="178">
        <f t="shared" si="3"/>
        <v>-85</v>
      </c>
      <c r="K47" s="178">
        <f t="shared" si="4"/>
        <v>-85</v>
      </c>
      <c r="L47" s="178">
        <f t="shared" si="5"/>
        <v>0</v>
      </c>
      <c r="M47" s="116"/>
    </row>
    <row r="48" spans="1:13" ht="15.6" customHeight="1">
      <c r="A48" s="114"/>
      <c r="B48" s="114" t="s">
        <v>117</v>
      </c>
      <c r="C48" s="206">
        <v>200</v>
      </c>
      <c r="D48" s="206">
        <v>200</v>
      </c>
      <c r="E48" s="206">
        <v>0</v>
      </c>
      <c r="F48" s="240">
        <v>202</v>
      </c>
      <c r="G48" s="240">
        <v>202</v>
      </c>
      <c r="H48" s="240">
        <v>0</v>
      </c>
      <c r="I48" s="177"/>
      <c r="J48" s="178">
        <f t="shared" si="3"/>
        <v>2</v>
      </c>
      <c r="K48" s="178">
        <f t="shared" si="4"/>
        <v>2</v>
      </c>
      <c r="L48" s="178">
        <f t="shared" si="5"/>
        <v>0</v>
      </c>
      <c r="M48" s="116"/>
    </row>
    <row r="49" spans="1:13" ht="15.6" customHeight="1">
      <c r="A49" s="107"/>
      <c r="B49" s="107" t="s">
        <v>16</v>
      </c>
      <c r="C49" s="204">
        <v>4673</v>
      </c>
      <c r="D49" s="205">
        <v>3527</v>
      </c>
      <c r="E49" s="205">
        <v>1146</v>
      </c>
      <c r="F49" s="237">
        <v>4690</v>
      </c>
      <c r="G49" s="238">
        <v>3543</v>
      </c>
      <c r="H49" s="238">
        <v>1147</v>
      </c>
      <c r="I49" s="169"/>
      <c r="J49" s="170">
        <f t="shared" si="3"/>
        <v>17</v>
      </c>
      <c r="K49" s="171">
        <f t="shared" si="4"/>
        <v>16</v>
      </c>
      <c r="L49" s="171">
        <f t="shared" si="5"/>
        <v>1</v>
      </c>
      <c r="M49" s="110"/>
    </row>
    <row r="50" spans="1:13" ht="15.6" customHeight="1">
      <c r="A50" s="97"/>
      <c r="B50" s="97" t="s">
        <v>158</v>
      </c>
      <c r="C50" s="201">
        <v>157</v>
      </c>
      <c r="D50" s="201">
        <v>0</v>
      </c>
      <c r="E50" s="201">
        <v>157</v>
      </c>
      <c r="F50" s="232">
        <v>156</v>
      </c>
      <c r="G50" s="232">
        <v>0</v>
      </c>
      <c r="H50" s="232">
        <v>156</v>
      </c>
      <c r="I50" s="162"/>
      <c r="J50" s="163">
        <f t="shared" si="3"/>
        <v>-1</v>
      </c>
      <c r="K50" s="163">
        <f t="shared" si="4"/>
        <v>0</v>
      </c>
      <c r="L50" s="163">
        <f t="shared" si="5"/>
        <v>-1</v>
      </c>
      <c r="M50" s="99"/>
    </row>
    <row r="51" spans="1:13" ht="15.6" customHeight="1">
      <c r="A51" s="97"/>
      <c r="B51" s="97" t="s">
        <v>118</v>
      </c>
      <c r="C51" s="201">
        <v>2814</v>
      </c>
      <c r="D51" s="201">
        <v>2090</v>
      </c>
      <c r="E51" s="201">
        <v>724</v>
      </c>
      <c r="F51" s="236">
        <v>2815</v>
      </c>
      <c r="G51" s="236">
        <v>2090</v>
      </c>
      <c r="H51" s="232">
        <v>725</v>
      </c>
      <c r="I51" s="162"/>
      <c r="J51" s="163">
        <f t="shared" si="3"/>
        <v>1</v>
      </c>
      <c r="K51" s="163">
        <f t="shared" si="4"/>
        <v>0</v>
      </c>
      <c r="L51" s="163">
        <f t="shared" si="5"/>
        <v>1</v>
      </c>
      <c r="M51" s="99"/>
    </row>
    <row r="52" spans="1:13" ht="15.6" customHeight="1">
      <c r="A52" s="105"/>
      <c r="B52" s="105" t="s">
        <v>142</v>
      </c>
      <c r="C52" s="201">
        <v>1702</v>
      </c>
      <c r="D52" s="201">
        <v>1437</v>
      </c>
      <c r="E52" s="201">
        <v>265</v>
      </c>
      <c r="F52" s="236">
        <v>1719</v>
      </c>
      <c r="G52" s="236">
        <v>1453</v>
      </c>
      <c r="H52" s="232">
        <v>266</v>
      </c>
      <c r="I52" s="168"/>
      <c r="J52" s="163">
        <f t="shared" si="3"/>
        <v>17</v>
      </c>
      <c r="K52" s="163">
        <f t="shared" si="4"/>
        <v>16</v>
      </c>
      <c r="L52" s="163">
        <f t="shared" si="5"/>
        <v>1</v>
      </c>
      <c r="M52" s="106"/>
    </row>
    <row r="53" spans="1:13" ht="15.6" customHeight="1">
      <c r="A53" s="107"/>
      <c r="B53" s="107" t="s">
        <v>17</v>
      </c>
      <c r="C53" s="204">
        <v>3980</v>
      </c>
      <c r="D53" s="205">
        <v>2801</v>
      </c>
      <c r="E53" s="205">
        <v>1179</v>
      </c>
      <c r="F53" s="237">
        <v>3987</v>
      </c>
      <c r="G53" s="238">
        <v>2805</v>
      </c>
      <c r="H53" s="238">
        <v>1182</v>
      </c>
      <c r="I53" s="169"/>
      <c r="J53" s="170">
        <f t="shared" si="3"/>
        <v>7</v>
      </c>
      <c r="K53" s="171">
        <f t="shared" si="4"/>
        <v>4</v>
      </c>
      <c r="L53" s="171">
        <f t="shared" si="5"/>
        <v>3</v>
      </c>
      <c r="M53" s="110"/>
    </row>
    <row r="54" spans="1:13" ht="15.6" customHeight="1">
      <c r="A54" s="97"/>
      <c r="B54" s="97" t="s">
        <v>160</v>
      </c>
      <c r="C54" s="201">
        <v>26</v>
      </c>
      <c r="D54" s="201">
        <v>0</v>
      </c>
      <c r="E54" s="201">
        <v>26</v>
      </c>
      <c r="F54" s="232">
        <v>26</v>
      </c>
      <c r="G54" s="232">
        <v>0</v>
      </c>
      <c r="H54" s="232">
        <v>26</v>
      </c>
      <c r="I54" s="162"/>
      <c r="J54" s="163">
        <f t="shared" si="3"/>
        <v>0</v>
      </c>
      <c r="K54" s="163">
        <f t="shared" si="4"/>
        <v>0</v>
      </c>
      <c r="L54" s="163">
        <f t="shared" si="5"/>
        <v>0</v>
      </c>
      <c r="M54" s="99"/>
    </row>
    <row r="55" spans="1:13" ht="15.6" customHeight="1">
      <c r="A55" s="97"/>
      <c r="B55" s="97" t="s">
        <v>39</v>
      </c>
      <c r="C55" s="201">
        <v>1331</v>
      </c>
      <c r="D55" s="201">
        <v>1132</v>
      </c>
      <c r="E55" s="201">
        <v>199</v>
      </c>
      <c r="F55" s="236">
        <v>1333</v>
      </c>
      <c r="G55" s="236">
        <v>1134</v>
      </c>
      <c r="H55" s="232">
        <v>199</v>
      </c>
      <c r="I55" s="162"/>
      <c r="J55" s="163">
        <f t="shared" si="3"/>
        <v>2</v>
      </c>
      <c r="K55" s="163">
        <f t="shared" si="4"/>
        <v>2</v>
      </c>
      <c r="L55" s="163">
        <f t="shared" si="5"/>
        <v>0</v>
      </c>
      <c r="M55" s="99"/>
    </row>
    <row r="56" spans="1:13" ht="15.6" customHeight="1">
      <c r="A56" s="105"/>
      <c r="B56" s="105" t="s">
        <v>40</v>
      </c>
      <c r="C56" s="201">
        <v>2623</v>
      </c>
      <c r="D56" s="201">
        <v>1669</v>
      </c>
      <c r="E56" s="201">
        <v>954</v>
      </c>
      <c r="F56" s="236">
        <v>2628</v>
      </c>
      <c r="G56" s="236">
        <v>1671</v>
      </c>
      <c r="H56" s="232">
        <v>957</v>
      </c>
      <c r="I56" s="168"/>
      <c r="J56" s="163">
        <f t="shared" si="3"/>
        <v>5</v>
      </c>
      <c r="K56" s="163">
        <f t="shared" si="4"/>
        <v>2</v>
      </c>
      <c r="L56" s="163">
        <f t="shared" si="5"/>
        <v>3</v>
      </c>
      <c r="M56" s="106"/>
    </row>
    <row r="57" spans="1:13" ht="15.6" customHeight="1" thickBot="1">
      <c r="A57" s="124"/>
      <c r="B57" s="124" t="s">
        <v>119</v>
      </c>
      <c r="C57" s="207">
        <v>132171</v>
      </c>
      <c r="D57" s="207">
        <v>132171</v>
      </c>
      <c r="E57" s="207">
        <v>0</v>
      </c>
      <c r="F57" s="243">
        <v>132642</v>
      </c>
      <c r="G57" s="243">
        <v>132642</v>
      </c>
      <c r="H57" s="244">
        <v>0</v>
      </c>
      <c r="I57" s="181"/>
      <c r="J57" s="182">
        <f t="shared" si="3"/>
        <v>471</v>
      </c>
      <c r="K57" s="182">
        <f t="shared" si="4"/>
        <v>471</v>
      </c>
      <c r="L57" s="182">
        <f t="shared" si="5"/>
        <v>0</v>
      </c>
      <c r="M57" s="126"/>
    </row>
    <row r="58" spans="1:13" s="13" customFormat="1" ht="3" customHeight="1">
      <c r="A58" s="127"/>
      <c r="B58" s="97"/>
      <c r="C58" s="128"/>
      <c r="D58" s="128"/>
      <c r="E58" s="128"/>
      <c r="F58" s="128"/>
      <c r="G58" s="128"/>
      <c r="H58" s="128"/>
      <c r="I58" s="129"/>
      <c r="J58" s="183"/>
      <c r="K58" s="183"/>
      <c r="L58" s="183"/>
      <c r="M58" s="129"/>
    </row>
    <row r="59" spans="1:13" s="24" customFormat="1" ht="11.25" customHeight="1">
      <c r="A59" s="130" t="s">
        <v>100</v>
      </c>
      <c r="B59" s="131"/>
      <c r="C59" s="132"/>
      <c r="D59" s="132"/>
      <c r="E59" s="133"/>
      <c r="F59" s="132"/>
      <c r="G59" s="132"/>
      <c r="H59" s="133"/>
      <c r="I59" s="80"/>
      <c r="J59" s="184"/>
      <c r="K59" s="184"/>
      <c r="L59" s="185"/>
      <c r="M59" s="80"/>
    </row>
    <row r="60" spans="1:13" s="23" customFormat="1" ht="11.25">
      <c r="A60" s="134" t="s">
        <v>101</v>
      </c>
      <c r="B60" s="135"/>
      <c r="C60" s="136"/>
      <c r="D60" s="136"/>
      <c r="E60" s="137"/>
      <c r="F60" s="136"/>
      <c r="G60" s="136"/>
      <c r="H60" s="137"/>
      <c r="I60" s="138"/>
      <c r="J60" s="186"/>
      <c r="K60" s="186"/>
      <c r="L60" s="187"/>
      <c r="M60" s="138"/>
    </row>
    <row r="61" spans="1:13" s="23" customFormat="1" ht="11.25" customHeight="1">
      <c r="A61" s="134" t="s">
        <v>102</v>
      </c>
      <c r="B61" s="139"/>
      <c r="C61" s="136"/>
      <c r="D61" s="132"/>
      <c r="E61" s="140"/>
      <c r="F61" s="136"/>
      <c r="G61" s="132"/>
      <c r="H61" s="140"/>
      <c r="I61" s="79"/>
      <c r="J61" s="186"/>
      <c r="K61" s="184"/>
      <c r="L61" s="188"/>
      <c r="M61" s="79"/>
    </row>
    <row r="62" spans="1:13" s="23" customFormat="1" ht="14.1" customHeight="1">
      <c r="A62" s="134" t="s">
        <v>103</v>
      </c>
      <c r="B62" s="139"/>
      <c r="C62" s="136"/>
      <c r="D62" s="132"/>
      <c r="E62" s="140"/>
      <c r="F62" s="136"/>
      <c r="G62" s="132"/>
      <c r="H62" s="140"/>
      <c r="I62" s="79"/>
      <c r="J62" s="186"/>
      <c r="K62" s="184"/>
      <c r="L62" s="188"/>
      <c r="M62" s="79"/>
    </row>
    <row r="63" spans="1:13" s="23" customFormat="1" ht="14.1" customHeight="1">
      <c r="A63" s="134" t="s">
        <v>104</v>
      </c>
      <c r="B63" s="139"/>
      <c r="C63" s="136"/>
      <c r="D63" s="132"/>
      <c r="E63" s="140"/>
      <c r="F63" s="136"/>
      <c r="G63" s="132"/>
      <c r="H63" s="140"/>
      <c r="I63" s="79"/>
      <c r="J63" s="186"/>
      <c r="K63" s="184"/>
      <c r="L63" s="188"/>
      <c r="M63" s="79"/>
    </row>
    <row r="64" spans="1:13" s="17" customFormat="1" ht="17.100000000000001" customHeight="1">
      <c r="A64" s="23"/>
      <c r="B64" s="3"/>
      <c r="C64" s="27"/>
      <c r="D64" s="26"/>
      <c r="E64" s="25"/>
      <c r="F64" s="26"/>
      <c r="G64" s="25"/>
      <c r="H64" s="26"/>
      <c r="I64" s="23"/>
      <c r="J64" s="26"/>
      <c r="K64" s="25"/>
      <c r="L64" s="26"/>
    </row>
    <row r="65" spans="4:12" ht="17.100000000000001" customHeight="1">
      <c r="D65" s="18"/>
      <c r="E65" s="19"/>
      <c r="F65" s="18"/>
      <c r="G65" s="19"/>
      <c r="H65" s="18"/>
      <c r="J65" s="18"/>
      <c r="K65" s="19"/>
      <c r="L65" s="18"/>
    </row>
    <row r="66" spans="4:12" ht="17.100000000000001" customHeight="1">
      <c r="D66" s="18"/>
      <c r="E66" s="19"/>
      <c r="F66" s="18"/>
      <c r="G66" s="19"/>
      <c r="H66" s="18"/>
      <c r="J66" s="18"/>
      <c r="K66" s="19"/>
      <c r="L66" s="18"/>
    </row>
  </sheetData>
  <mergeCells count="8">
    <mergeCell ref="A1:I1"/>
    <mergeCell ref="J3:L3"/>
    <mergeCell ref="C3:E3"/>
    <mergeCell ref="F3:H3"/>
    <mergeCell ref="A2:B3"/>
    <mergeCell ref="J2:L2"/>
    <mergeCell ref="C2:E2"/>
    <mergeCell ref="F2:I2"/>
  </mergeCells>
  <phoneticPr fontId="17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58" orientation="landscape" r:id="rId1"/>
  <headerFooter alignWithMargins="0"/>
  <rowBreaks count="1" manualBreakCount="1">
    <brk id="5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AA45"/>
  <sheetViews>
    <sheetView zoomScale="85" zoomScaleNormal="85" workbookViewId="0">
      <pane ySplit="6" topLeftCell="A7" activePane="bottomLeft" state="frozen"/>
      <selection activeCell="C12" activeCellId="1" sqref="C17 C12"/>
      <selection pane="bottomLeft" activeCell="D13" sqref="D13"/>
    </sheetView>
  </sheetViews>
  <sheetFormatPr defaultRowHeight="16.5"/>
  <cols>
    <col min="1" max="1" width="20.85546875" style="34" customWidth="1"/>
    <col min="2" max="2" width="30.5703125" style="32" customWidth="1"/>
    <col min="3" max="9" width="14.140625" style="32" customWidth="1"/>
    <col min="10" max="25" width="11" style="32" customWidth="1"/>
    <col min="26" max="27" width="0.140625" style="45" customWidth="1"/>
    <col min="28" max="16384" width="9.140625" style="32"/>
  </cols>
  <sheetData>
    <row r="2" spans="1:27" ht="36" customHeight="1">
      <c r="A2" s="263" t="s">
        <v>176</v>
      </c>
      <c r="B2" s="263"/>
      <c r="C2" s="263"/>
      <c r="D2" s="263"/>
      <c r="E2" s="263"/>
      <c r="F2" s="263"/>
      <c r="G2" s="263"/>
      <c r="H2" s="263"/>
      <c r="I2" s="263"/>
    </row>
    <row r="3" spans="1:27" ht="20.25">
      <c r="A3" s="33"/>
      <c r="B3" s="33"/>
      <c r="C3" s="33"/>
      <c r="D3" s="33"/>
      <c r="E3" s="33"/>
      <c r="F3" s="33"/>
      <c r="G3" s="33"/>
      <c r="H3" s="33"/>
      <c r="I3" s="33"/>
    </row>
    <row r="4" spans="1:27">
      <c r="I4" s="35" t="s">
        <v>58</v>
      </c>
    </row>
    <row r="5" spans="1:27">
      <c r="A5" s="264" t="s">
        <v>59</v>
      </c>
      <c r="B5" s="264" t="s">
        <v>60</v>
      </c>
      <c r="C5" s="265" t="s">
        <v>61</v>
      </c>
      <c r="D5" s="265"/>
      <c r="E5" s="266" t="s">
        <v>85</v>
      </c>
      <c r="F5" s="265"/>
      <c r="G5" s="265" t="s">
        <v>62</v>
      </c>
      <c r="H5" s="265"/>
      <c r="I5" s="264" t="s">
        <v>63</v>
      </c>
    </row>
    <row r="6" spans="1:27">
      <c r="A6" s="264"/>
      <c r="B6" s="264"/>
      <c r="C6" s="44" t="s">
        <v>64</v>
      </c>
      <c r="D6" s="44" t="s">
        <v>65</v>
      </c>
      <c r="E6" s="44" t="s">
        <v>64</v>
      </c>
      <c r="F6" s="44" t="s">
        <v>65</v>
      </c>
      <c r="G6" s="44" t="s">
        <v>64</v>
      </c>
      <c r="H6" s="44" t="s">
        <v>65</v>
      </c>
      <c r="I6" s="264"/>
    </row>
    <row r="7" spans="1:27">
      <c r="A7" s="267" t="s">
        <v>66</v>
      </c>
      <c r="B7" s="36" t="s">
        <v>67</v>
      </c>
      <c r="C7" s="37"/>
      <c r="D7" s="37">
        <v>854</v>
      </c>
      <c r="E7" s="37"/>
      <c r="F7" s="37">
        <v>1</v>
      </c>
      <c r="G7" s="38">
        <f>C7+E7</f>
        <v>0</v>
      </c>
      <c r="H7" s="38">
        <f>D7+F7</f>
        <v>855</v>
      </c>
      <c r="I7" s="189">
        <f>SUM(G7:H7)</f>
        <v>855</v>
      </c>
      <c r="J7" s="40"/>
      <c r="K7" s="40"/>
      <c r="L7" s="40"/>
      <c r="Z7" s="45" t="e">
        <f>#REF!</f>
        <v>#REF!</v>
      </c>
      <c r="AA7" s="45" t="e">
        <f>#REF!</f>
        <v>#REF!</v>
      </c>
    </row>
    <row r="8" spans="1:27">
      <c r="A8" s="268"/>
      <c r="B8" s="36" t="s">
        <v>68</v>
      </c>
      <c r="C8" s="37">
        <v>3</v>
      </c>
      <c r="D8" s="37">
        <v>8204</v>
      </c>
      <c r="E8" s="37">
        <v>1</v>
      </c>
      <c r="F8" s="37">
        <v>66</v>
      </c>
      <c r="G8" s="38">
        <f t="shared" ref="G8:H41" si="0">C8+E8</f>
        <v>4</v>
      </c>
      <c r="H8" s="38">
        <f t="shared" si="0"/>
        <v>8270</v>
      </c>
      <c r="I8" s="189">
        <f t="shared" ref="I8:I42" si="1">SUM(G8:H8)</f>
        <v>8274</v>
      </c>
      <c r="J8" s="40"/>
      <c r="K8" s="40"/>
      <c r="L8" s="40"/>
      <c r="Z8" s="45" t="e">
        <f>#REF!</f>
        <v>#REF!</v>
      </c>
      <c r="AA8" s="45" t="e">
        <f>#REF!</f>
        <v>#REF!</v>
      </c>
    </row>
    <row r="9" spans="1:27">
      <c r="A9" s="267" t="s">
        <v>69</v>
      </c>
      <c r="B9" s="36" t="s">
        <v>70</v>
      </c>
      <c r="C9" s="37"/>
      <c r="D9" s="37">
        <v>32888</v>
      </c>
      <c r="E9" s="37"/>
      <c r="F9" s="37">
        <v>1298</v>
      </c>
      <c r="G9" s="38">
        <f t="shared" si="0"/>
        <v>0</v>
      </c>
      <c r="H9" s="38">
        <f t="shared" si="0"/>
        <v>34186</v>
      </c>
      <c r="I9" s="189">
        <f t="shared" si="1"/>
        <v>34186</v>
      </c>
      <c r="J9" s="40"/>
      <c r="K9" s="40"/>
      <c r="L9" s="40"/>
      <c r="Z9" s="45" t="e">
        <f>#REF!</f>
        <v>#REF!</v>
      </c>
      <c r="AA9" s="45" t="e">
        <f>#REF!</f>
        <v>#REF!</v>
      </c>
    </row>
    <row r="10" spans="1:27">
      <c r="A10" s="269"/>
      <c r="B10" s="36" t="s">
        <v>5</v>
      </c>
      <c r="C10" s="37">
        <v>420</v>
      </c>
      <c r="D10" s="37">
        <v>96973</v>
      </c>
      <c r="E10" s="37">
        <v>55304</v>
      </c>
      <c r="F10" s="37">
        <v>13049</v>
      </c>
      <c r="G10" s="38">
        <f t="shared" si="0"/>
        <v>55724</v>
      </c>
      <c r="H10" s="38">
        <f t="shared" si="0"/>
        <v>110022</v>
      </c>
      <c r="I10" s="189">
        <f t="shared" si="1"/>
        <v>165746</v>
      </c>
      <c r="J10" s="40"/>
      <c r="K10" s="40"/>
      <c r="L10" s="40"/>
      <c r="Q10" s="192"/>
      <c r="R10" s="192"/>
      <c r="V10" s="192"/>
      <c r="Z10" s="45" t="e">
        <f>#REF!</f>
        <v>#REF!</v>
      </c>
      <c r="AA10" s="45" t="e">
        <f>#REF!</f>
        <v>#REF!</v>
      </c>
    </row>
    <row r="11" spans="1:27">
      <c r="A11" s="269"/>
      <c r="B11" s="36" t="s">
        <v>71</v>
      </c>
      <c r="C11" s="37"/>
      <c r="D11" s="37">
        <v>14409</v>
      </c>
      <c r="E11" s="37"/>
      <c r="F11" s="37">
        <v>132</v>
      </c>
      <c r="G11" s="38">
        <f t="shared" si="0"/>
        <v>0</v>
      </c>
      <c r="H11" s="38">
        <f t="shared" si="0"/>
        <v>14541</v>
      </c>
      <c r="I11" s="189">
        <f t="shared" si="1"/>
        <v>14541</v>
      </c>
      <c r="J11" s="40"/>
      <c r="K11" s="40"/>
      <c r="L11" s="40"/>
      <c r="Q11" s="192"/>
      <c r="R11" s="192"/>
      <c r="V11" s="192"/>
      <c r="Z11" s="45" t="e">
        <f>#REF!</f>
        <v>#REF!</v>
      </c>
      <c r="AA11" s="45" t="e">
        <f>#REF!</f>
        <v>#REF!</v>
      </c>
    </row>
    <row r="12" spans="1:27">
      <c r="A12" s="269"/>
      <c r="B12" s="36" t="s">
        <v>7</v>
      </c>
      <c r="C12" s="37">
        <v>42569</v>
      </c>
      <c r="D12" s="37">
        <v>18653</v>
      </c>
      <c r="E12" s="37">
        <v>5666</v>
      </c>
      <c r="F12" s="37">
        <v>1106</v>
      </c>
      <c r="G12" s="38">
        <f t="shared" si="0"/>
        <v>48235</v>
      </c>
      <c r="H12" s="38">
        <f t="shared" si="0"/>
        <v>19759</v>
      </c>
      <c r="I12" s="189">
        <f t="shared" si="1"/>
        <v>67994</v>
      </c>
      <c r="J12" s="40"/>
      <c r="K12" s="40"/>
      <c r="L12" s="40"/>
      <c r="Q12" s="192"/>
      <c r="R12" s="192"/>
      <c r="S12" s="192"/>
      <c r="T12" s="192"/>
      <c r="U12" s="192"/>
      <c r="V12" s="192"/>
      <c r="Z12" s="45" t="e">
        <f>#REF!</f>
        <v>#REF!</v>
      </c>
      <c r="AA12" s="45" t="e">
        <f>#REF!</f>
        <v>#REF!</v>
      </c>
    </row>
    <row r="13" spans="1:27">
      <c r="A13" s="269"/>
      <c r="B13" s="36" t="s">
        <v>8</v>
      </c>
      <c r="C13" s="37">
        <v>652</v>
      </c>
      <c r="D13" s="37">
        <v>66719</v>
      </c>
      <c r="E13" s="37">
        <v>9756</v>
      </c>
      <c r="F13" s="37">
        <v>13989</v>
      </c>
      <c r="G13" s="38">
        <f t="shared" si="0"/>
        <v>10408</v>
      </c>
      <c r="H13" s="38">
        <f t="shared" si="0"/>
        <v>80708</v>
      </c>
      <c r="I13" s="189">
        <f t="shared" si="1"/>
        <v>91116</v>
      </c>
      <c r="J13" s="40"/>
      <c r="K13" s="40"/>
      <c r="L13" s="40"/>
      <c r="Q13" s="192"/>
      <c r="R13" s="192"/>
      <c r="V13" s="192"/>
      <c r="Z13" s="45" t="e">
        <f>#REF!</f>
        <v>#REF!</v>
      </c>
      <c r="AA13" s="45" t="e">
        <f>#REF!</f>
        <v>#REF!</v>
      </c>
    </row>
    <row r="14" spans="1:27">
      <c r="A14" s="269"/>
      <c r="B14" s="36" t="s">
        <v>9</v>
      </c>
      <c r="C14" s="37">
        <v>15491</v>
      </c>
      <c r="D14" s="37">
        <v>6142</v>
      </c>
      <c r="E14" s="37">
        <v>29486</v>
      </c>
      <c r="F14" s="37">
        <v>1331</v>
      </c>
      <c r="G14" s="38">
        <f t="shared" si="0"/>
        <v>44977</v>
      </c>
      <c r="H14" s="38">
        <f t="shared" si="0"/>
        <v>7473</v>
      </c>
      <c r="I14" s="189">
        <f t="shared" si="1"/>
        <v>52450</v>
      </c>
      <c r="J14" s="40"/>
      <c r="K14" s="40"/>
      <c r="L14" s="40"/>
      <c r="P14" s="192"/>
      <c r="Q14" s="192"/>
      <c r="R14" s="192"/>
      <c r="S14" s="192"/>
      <c r="U14" s="192"/>
      <c r="V14" s="192"/>
      <c r="Z14" s="45" t="e">
        <f>#REF!</f>
        <v>#REF!</v>
      </c>
      <c r="AA14" s="45" t="e">
        <f>#REF!</f>
        <v>#REF!</v>
      </c>
    </row>
    <row r="15" spans="1:27">
      <c r="A15" s="269"/>
      <c r="B15" s="36" t="s">
        <v>72</v>
      </c>
      <c r="C15" s="37">
        <v>2</v>
      </c>
      <c r="D15" s="37">
        <v>249</v>
      </c>
      <c r="E15" s="37">
        <v>4</v>
      </c>
      <c r="F15" s="37">
        <v>31</v>
      </c>
      <c r="G15" s="38">
        <f t="shared" si="0"/>
        <v>6</v>
      </c>
      <c r="H15" s="38">
        <f t="shared" si="0"/>
        <v>280</v>
      </c>
      <c r="I15" s="189">
        <f t="shared" si="1"/>
        <v>286</v>
      </c>
      <c r="J15" s="40"/>
      <c r="K15" s="40"/>
      <c r="L15" s="40"/>
      <c r="Q15" s="192"/>
      <c r="R15" s="192"/>
      <c r="S15" s="192"/>
      <c r="T15" s="192"/>
      <c r="U15" s="192"/>
      <c r="V15" s="192"/>
      <c r="Z15" s="45" t="e">
        <f>#REF!</f>
        <v>#REF!</v>
      </c>
      <c r="AA15" s="45" t="e">
        <f>#REF!</f>
        <v>#REF!</v>
      </c>
    </row>
    <row r="16" spans="1:27">
      <c r="A16" s="269"/>
      <c r="B16" s="36" t="s">
        <v>73</v>
      </c>
      <c r="C16" s="37"/>
      <c r="D16" s="37">
        <v>29</v>
      </c>
      <c r="E16" s="37"/>
      <c r="F16" s="37"/>
      <c r="G16" s="38">
        <f t="shared" si="0"/>
        <v>0</v>
      </c>
      <c r="H16" s="38">
        <f t="shared" si="0"/>
        <v>29</v>
      </c>
      <c r="I16" s="189">
        <f t="shared" si="1"/>
        <v>29</v>
      </c>
      <c r="J16" s="40"/>
      <c r="K16" s="40"/>
      <c r="L16" s="40"/>
      <c r="P16" s="192"/>
      <c r="Q16" s="192"/>
      <c r="R16" s="192"/>
      <c r="S16" s="192"/>
      <c r="U16" s="192"/>
      <c r="V16" s="192"/>
      <c r="Z16" s="45" t="e">
        <f>#REF!</f>
        <v>#REF!</v>
      </c>
      <c r="AA16" s="45" t="e">
        <f>#REF!</f>
        <v>#REF!</v>
      </c>
    </row>
    <row r="17" spans="1:27">
      <c r="A17" s="269"/>
      <c r="B17" s="36" t="s">
        <v>74</v>
      </c>
      <c r="C17" s="37">
        <v>108</v>
      </c>
      <c r="D17" s="37">
        <v>225</v>
      </c>
      <c r="E17" s="37">
        <v>8</v>
      </c>
      <c r="F17" s="37">
        <v>7</v>
      </c>
      <c r="G17" s="38">
        <f t="shared" si="0"/>
        <v>116</v>
      </c>
      <c r="H17" s="38">
        <f t="shared" si="0"/>
        <v>232</v>
      </c>
      <c r="I17" s="189">
        <f t="shared" si="1"/>
        <v>348</v>
      </c>
      <c r="J17" s="40"/>
      <c r="K17" s="40"/>
      <c r="L17" s="40"/>
      <c r="Z17" s="45" t="e">
        <f>#REF!</f>
        <v>#REF!</v>
      </c>
      <c r="AA17" s="45" t="e">
        <f>#REF!</f>
        <v>#REF!</v>
      </c>
    </row>
    <row r="18" spans="1:27">
      <c r="A18" s="269"/>
      <c r="B18" s="36" t="s">
        <v>75</v>
      </c>
      <c r="C18" s="37">
        <v>245</v>
      </c>
      <c r="D18" s="37">
        <v>292</v>
      </c>
      <c r="E18" s="37">
        <v>19</v>
      </c>
      <c r="F18" s="37">
        <v>11</v>
      </c>
      <c r="G18" s="38">
        <f t="shared" si="0"/>
        <v>264</v>
      </c>
      <c r="H18" s="38">
        <f t="shared" si="0"/>
        <v>303</v>
      </c>
      <c r="I18" s="189">
        <f t="shared" si="1"/>
        <v>567</v>
      </c>
      <c r="J18" s="40"/>
      <c r="K18" s="40"/>
      <c r="L18" s="40"/>
      <c r="Z18" s="45" t="e">
        <f>#REF!</f>
        <v>#REF!</v>
      </c>
      <c r="AA18" s="45" t="e">
        <f>#REF!</f>
        <v>#REF!</v>
      </c>
    </row>
    <row r="19" spans="1:27">
      <c r="A19" s="269"/>
      <c r="B19" s="36" t="s">
        <v>11</v>
      </c>
      <c r="C19" s="37"/>
      <c r="D19" s="37">
        <v>8534</v>
      </c>
      <c r="E19" s="37"/>
      <c r="F19" s="37">
        <v>75</v>
      </c>
      <c r="G19" s="38">
        <f t="shared" si="0"/>
        <v>0</v>
      </c>
      <c r="H19" s="38">
        <f t="shared" si="0"/>
        <v>8609</v>
      </c>
      <c r="I19" s="189">
        <f t="shared" si="1"/>
        <v>8609</v>
      </c>
      <c r="J19" s="40"/>
      <c r="K19" s="40"/>
      <c r="L19" s="40"/>
      <c r="Z19" s="45" t="e">
        <f>#REF!</f>
        <v>#REF!</v>
      </c>
      <c r="AA19" s="45" t="e">
        <f>#REF!</f>
        <v>#REF!</v>
      </c>
    </row>
    <row r="20" spans="1:27">
      <c r="A20" s="269"/>
      <c r="B20" s="36" t="s">
        <v>12</v>
      </c>
      <c r="C20" s="37">
        <v>2834</v>
      </c>
      <c r="D20" s="37">
        <v>2808</v>
      </c>
      <c r="E20" s="37">
        <v>232</v>
      </c>
      <c r="F20" s="37">
        <v>89</v>
      </c>
      <c r="G20" s="38">
        <f t="shared" si="0"/>
        <v>3066</v>
      </c>
      <c r="H20" s="38">
        <f t="shared" si="0"/>
        <v>2897</v>
      </c>
      <c r="I20" s="189">
        <f t="shared" si="1"/>
        <v>5963</v>
      </c>
      <c r="J20" s="40"/>
      <c r="K20" s="40"/>
      <c r="L20" s="40"/>
      <c r="Z20" s="45" t="e">
        <f>#REF!</f>
        <v>#REF!</v>
      </c>
      <c r="AA20" s="45" t="e">
        <f>#REF!</f>
        <v>#REF!</v>
      </c>
    </row>
    <row r="21" spans="1:27">
      <c r="A21" s="268"/>
      <c r="B21" s="36" t="s">
        <v>30</v>
      </c>
      <c r="C21" s="37"/>
      <c r="D21" s="37">
        <v>16</v>
      </c>
      <c r="E21" s="37"/>
      <c r="F21" s="37"/>
      <c r="G21" s="38">
        <f t="shared" si="0"/>
        <v>0</v>
      </c>
      <c r="H21" s="38">
        <f t="shared" si="0"/>
        <v>16</v>
      </c>
      <c r="I21" s="189">
        <f t="shared" si="1"/>
        <v>16</v>
      </c>
      <c r="J21" s="40"/>
      <c r="K21" s="40"/>
      <c r="L21" s="40"/>
      <c r="Q21" s="192"/>
      <c r="R21" s="192"/>
      <c r="V21" s="192"/>
      <c r="Z21" s="45" t="e">
        <f>#REF!</f>
        <v>#REF!</v>
      </c>
      <c r="AA21" s="45" t="e">
        <f>#REF!</f>
        <v>#REF!</v>
      </c>
    </row>
    <row r="22" spans="1:27">
      <c r="A22" s="39" t="s">
        <v>76</v>
      </c>
      <c r="B22" s="36" t="s">
        <v>77</v>
      </c>
      <c r="C22" s="37">
        <v>13</v>
      </c>
      <c r="D22" s="37">
        <v>352</v>
      </c>
      <c r="E22" s="37"/>
      <c r="F22" s="37">
        <v>2</v>
      </c>
      <c r="G22" s="38">
        <f t="shared" si="0"/>
        <v>13</v>
      </c>
      <c r="H22" s="38">
        <f t="shared" si="0"/>
        <v>354</v>
      </c>
      <c r="I22" s="189">
        <f t="shared" si="1"/>
        <v>367</v>
      </c>
      <c r="J22" s="40"/>
      <c r="K22" s="40"/>
      <c r="L22" s="40"/>
      <c r="P22" s="192"/>
      <c r="Q22" s="192"/>
      <c r="R22" s="192"/>
      <c r="V22" s="192"/>
      <c r="Z22" s="45" t="e">
        <f>#REF!</f>
        <v>#REF!</v>
      </c>
      <c r="AA22" s="45" t="e">
        <f>#REF!</f>
        <v>#REF!</v>
      </c>
    </row>
    <row r="23" spans="1:27">
      <c r="A23" s="267" t="s">
        <v>78</v>
      </c>
      <c r="B23" s="36" t="s">
        <v>32</v>
      </c>
      <c r="C23" s="37"/>
      <c r="D23" s="37">
        <v>176</v>
      </c>
      <c r="E23" s="37"/>
      <c r="F23" s="37">
        <v>1</v>
      </c>
      <c r="G23" s="38">
        <f t="shared" si="0"/>
        <v>0</v>
      </c>
      <c r="H23" s="38">
        <f t="shared" si="0"/>
        <v>177</v>
      </c>
      <c r="I23" s="189">
        <f t="shared" si="1"/>
        <v>177</v>
      </c>
      <c r="J23" s="40"/>
      <c r="K23" s="40"/>
      <c r="L23" s="40"/>
      <c r="Z23" s="45" t="e">
        <f>#REF!</f>
        <v>#REF!</v>
      </c>
      <c r="AA23" s="45" t="e">
        <f>#REF!</f>
        <v>#REF!</v>
      </c>
    </row>
    <row r="24" spans="1:27">
      <c r="A24" s="269"/>
      <c r="B24" s="36" t="s">
        <v>33</v>
      </c>
      <c r="C24" s="37">
        <v>1616</v>
      </c>
      <c r="D24" s="37">
        <v>118</v>
      </c>
      <c r="E24" s="37">
        <v>105</v>
      </c>
      <c r="F24" s="37">
        <v>6</v>
      </c>
      <c r="G24" s="38">
        <f t="shared" si="0"/>
        <v>1721</v>
      </c>
      <c r="H24" s="38">
        <f t="shared" si="0"/>
        <v>124</v>
      </c>
      <c r="I24" s="189">
        <f t="shared" si="1"/>
        <v>1845</v>
      </c>
      <c r="J24" s="40"/>
      <c r="K24" s="40"/>
      <c r="L24" s="40"/>
      <c r="Z24" s="45" t="e">
        <f>#REF!</f>
        <v>#REF!</v>
      </c>
      <c r="AA24" s="45" t="e">
        <f>#REF!</f>
        <v>#REF!</v>
      </c>
    </row>
    <row r="25" spans="1:27">
      <c r="A25" s="269"/>
      <c r="B25" s="36" t="s">
        <v>34</v>
      </c>
      <c r="C25" s="37"/>
      <c r="D25" s="37">
        <v>214</v>
      </c>
      <c r="E25" s="37"/>
      <c r="F25" s="37">
        <v>1</v>
      </c>
      <c r="G25" s="38">
        <f t="shared" si="0"/>
        <v>0</v>
      </c>
      <c r="H25" s="38">
        <f t="shared" si="0"/>
        <v>215</v>
      </c>
      <c r="I25" s="189">
        <f t="shared" si="1"/>
        <v>215</v>
      </c>
      <c r="J25" s="40"/>
      <c r="K25" s="40"/>
      <c r="L25" s="40"/>
      <c r="Z25" s="45" t="e">
        <f>#REF!</f>
        <v>#REF!</v>
      </c>
      <c r="AA25" s="45" t="e">
        <f>#REF!</f>
        <v>#REF!</v>
      </c>
    </row>
    <row r="26" spans="1:27">
      <c r="A26" s="268"/>
      <c r="B26" s="36" t="s">
        <v>35</v>
      </c>
      <c r="C26" s="37">
        <v>443</v>
      </c>
      <c r="D26" s="37">
        <v>104</v>
      </c>
      <c r="E26" s="37">
        <v>33</v>
      </c>
      <c r="F26" s="37">
        <v>2</v>
      </c>
      <c r="G26" s="38">
        <f t="shared" si="0"/>
        <v>476</v>
      </c>
      <c r="H26" s="38">
        <f t="shared" si="0"/>
        <v>106</v>
      </c>
      <c r="I26" s="189">
        <f t="shared" si="1"/>
        <v>582</v>
      </c>
      <c r="J26" s="40"/>
      <c r="K26" s="40"/>
      <c r="L26" s="40"/>
      <c r="P26" s="192"/>
      <c r="R26" s="192"/>
      <c r="V26" s="192"/>
      <c r="Z26" s="45" t="e">
        <f>#REF!</f>
        <v>#REF!</v>
      </c>
      <c r="AA26" s="45" t="e">
        <f>#REF!</f>
        <v>#REF!</v>
      </c>
    </row>
    <row r="27" spans="1:27">
      <c r="A27" s="267" t="s">
        <v>79</v>
      </c>
      <c r="B27" s="36" t="s">
        <v>48</v>
      </c>
      <c r="C27" s="37"/>
      <c r="D27" s="37">
        <v>1666</v>
      </c>
      <c r="E27" s="37"/>
      <c r="F27" s="37">
        <v>10</v>
      </c>
      <c r="G27" s="38">
        <f t="shared" si="0"/>
        <v>0</v>
      </c>
      <c r="H27" s="38">
        <f t="shared" si="0"/>
        <v>1676</v>
      </c>
      <c r="I27" s="189">
        <f t="shared" si="1"/>
        <v>1676</v>
      </c>
      <c r="J27" s="40"/>
      <c r="K27" s="40"/>
      <c r="L27" s="40"/>
      <c r="Z27" s="45" t="e">
        <f>#REF!</f>
        <v>#REF!</v>
      </c>
      <c r="AA27" s="45" t="e">
        <f>#REF!</f>
        <v>#REF!</v>
      </c>
    </row>
    <row r="28" spans="1:27">
      <c r="A28" s="269"/>
      <c r="B28" s="36" t="s">
        <v>49</v>
      </c>
      <c r="C28" s="37">
        <v>5984</v>
      </c>
      <c r="D28" s="37">
        <v>649</v>
      </c>
      <c r="E28" s="37">
        <v>597</v>
      </c>
      <c r="F28" s="37">
        <v>7</v>
      </c>
      <c r="G28" s="38">
        <f t="shared" si="0"/>
        <v>6581</v>
      </c>
      <c r="H28" s="38">
        <f t="shared" si="0"/>
        <v>656</v>
      </c>
      <c r="I28" s="189">
        <f t="shared" si="1"/>
        <v>7237</v>
      </c>
      <c r="J28" s="40"/>
      <c r="K28" s="40"/>
      <c r="L28" s="40"/>
      <c r="Z28" s="45" t="e">
        <f>#REF!</f>
        <v>#REF!</v>
      </c>
      <c r="AA28" s="45" t="e">
        <f>#REF!</f>
        <v>#REF!</v>
      </c>
    </row>
    <row r="29" spans="1:27">
      <c r="A29" s="269"/>
      <c r="B29" s="36" t="s">
        <v>50</v>
      </c>
      <c r="C29" s="37"/>
      <c r="D29" s="37">
        <v>291</v>
      </c>
      <c r="E29" s="37"/>
      <c r="F29" s="37">
        <v>2</v>
      </c>
      <c r="G29" s="38">
        <f t="shared" si="0"/>
        <v>0</v>
      </c>
      <c r="H29" s="38">
        <f t="shared" si="0"/>
        <v>293</v>
      </c>
      <c r="I29" s="189">
        <f t="shared" si="1"/>
        <v>293</v>
      </c>
      <c r="J29" s="40"/>
      <c r="K29" s="40"/>
      <c r="L29" s="40"/>
      <c r="Z29" s="45" t="e">
        <f>#REF!</f>
        <v>#REF!</v>
      </c>
      <c r="AA29" s="45" t="e">
        <f>#REF!</f>
        <v>#REF!</v>
      </c>
    </row>
    <row r="30" spans="1:27">
      <c r="A30" s="268"/>
      <c r="B30" s="36" t="s">
        <v>51</v>
      </c>
      <c r="C30" s="37">
        <v>228</v>
      </c>
      <c r="D30" s="37">
        <v>24</v>
      </c>
      <c r="E30" s="37">
        <v>20</v>
      </c>
      <c r="F30" s="37"/>
      <c r="G30" s="38">
        <f t="shared" si="0"/>
        <v>248</v>
      </c>
      <c r="H30" s="38">
        <f t="shared" si="0"/>
        <v>24</v>
      </c>
      <c r="I30" s="189">
        <f t="shared" si="1"/>
        <v>272</v>
      </c>
      <c r="J30" s="40"/>
      <c r="K30" s="40"/>
      <c r="L30" s="40"/>
      <c r="P30" s="192"/>
      <c r="R30" s="192"/>
      <c r="V30" s="192"/>
      <c r="Z30" s="45" t="e">
        <f>#REF!</f>
        <v>#REF!</v>
      </c>
      <c r="AA30" s="45" t="e">
        <f>#REF!</f>
        <v>#REF!</v>
      </c>
    </row>
    <row r="31" spans="1:27" s="42" customFormat="1">
      <c r="A31" s="76" t="s">
        <v>80</v>
      </c>
      <c r="B31" s="43" t="s">
        <v>80</v>
      </c>
      <c r="C31" s="37">
        <v>92661</v>
      </c>
      <c r="D31" s="37"/>
      <c r="E31" s="37">
        <v>91919</v>
      </c>
      <c r="F31" s="37"/>
      <c r="G31" s="38">
        <f t="shared" si="0"/>
        <v>184580</v>
      </c>
      <c r="H31" s="38">
        <f t="shared" si="0"/>
        <v>0</v>
      </c>
      <c r="I31" s="189">
        <f t="shared" si="1"/>
        <v>184580</v>
      </c>
      <c r="J31" s="40"/>
      <c r="K31" s="40"/>
      <c r="L31" s="40"/>
      <c r="Z31" s="45" t="e">
        <f>#REF!</f>
        <v>#REF!</v>
      </c>
      <c r="AA31" s="45" t="e">
        <f>#REF!</f>
        <v>#REF!</v>
      </c>
    </row>
    <row r="32" spans="1:27" ht="16.5" customHeight="1">
      <c r="A32" s="271" t="s">
        <v>169</v>
      </c>
      <c r="B32" s="36" t="s">
        <v>52</v>
      </c>
      <c r="C32" s="37">
        <v>885</v>
      </c>
      <c r="D32" s="37"/>
      <c r="E32" s="37">
        <v>45072</v>
      </c>
      <c r="F32" s="37"/>
      <c r="G32" s="38">
        <f t="shared" si="0"/>
        <v>45957</v>
      </c>
      <c r="H32" s="38">
        <f t="shared" si="0"/>
        <v>0</v>
      </c>
      <c r="I32" s="189">
        <f t="shared" si="1"/>
        <v>45957</v>
      </c>
      <c r="J32" s="40"/>
      <c r="K32" s="40"/>
      <c r="L32" s="40"/>
      <c r="M32" s="40"/>
      <c r="Z32" s="45" t="e">
        <f>#REF!</f>
        <v>#REF!</v>
      </c>
      <c r="AA32" s="45" t="e">
        <f>#REF!</f>
        <v>#REF!</v>
      </c>
    </row>
    <row r="33" spans="1:27">
      <c r="A33" s="268"/>
      <c r="B33" s="36" t="s">
        <v>53</v>
      </c>
      <c r="C33" s="37">
        <v>198</v>
      </c>
      <c r="D33" s="37"/>
      <c r="E33" s="37">
        <v>4</v>
      </c>
      <c r="F33" s="37"/>
      <c r="G33" s="38">
        <f t="shared" si="0"/>
        <v>202</v>
      </c>
      <c r="H33" s="38">
        <f t="shared" si="0"/>
        <v>0</v>
      </c>
      <c r="I33" s="189">
        <f t="shared" si="1"/>
        <v>202</v>
      </c>
      <c r="J33" s="40"/>
      <c r="K33" s="40"/>
      <c r="L33" s="40"/>
      <c r="P33" s="192"/>
      <c r="R33" s="192"/>
      <c r="S33" s="192"/>
      <c r="U33" s="192"/>
      <c r="V33" s="192"/>
      <c r="Z33" s="45" t="e">
        <f>#REF!</f>
        <v>#REF!</v>
      </c>
      <c r="AA33" s="45" t="e">
        <f>#REF!</f>
        <v>#REF!</v>
      </c>
    </row>
    <row r="34" spans="1:27">
      <c r="A34" s="267" t="s">
        <v>81</v>
      </c>
      <c r="B34" s="36" t="s">
        <v>163</v>
      </c>
      <c r="C34" s="37"/>
      <c r="D34" s="37">
        <v>155</v>
      </c>
      <c r="E34" s="37"/>
      <c r="F34" s="37">
        <v>1</v>
      </c>
      <c r="G34" s="38">
        <f t="shared" si="0"/>
        <v>0</v>
      </c>
      <c r="H34" s="38">
        <f t="shared" si="0"/>
        <v>156</v>
      </c>
      <c r="I34" s="189">
        <f t="shared" si="1"/>
        <v>156</v>
      </c>
      <c r="J34" s="40"/>
      <c r="K34" s="40"/>
      <c r="L34" s="40"/>
      <c r="S34" s="192"/>
      <c r="U34" s="192"/>
      <c r="V34" s="192"/>
      <c r="Z34" s="45" t="e">
        <f>#REF!</f>
        <v>#REF!</v>
      </c>
      <c r="AA34" s="45" t="e">
        <f>#REF!</f>
        <v>#REF!</v>
      </c>
    </row>
    <row r="35" spans="1:27">
      <c r="A35" s="269"/>
      <c r="B35" s="36" t="s">
        <v>82</v>
      </c>
      <c r="C35" s="37">
        <v>1987</v>
      </c>
      <c r="D35" s="37">
        <v>703</v>
      </c>
      <c r="E35" s="37">
        <v>103</v>
      </c>
      <c r="F35" s="37">
        <v>22</v>
      </c>
      <c r="G35" s="38">
        <f t="shared" si="0"/>
        <v>2090</v>
      </c>
      <c r="H35" s="38">
        <f t="shared" si="0"/>
        <v>725</v>
      </c>
      <c r="I35" s="189">
        <f t="shared" si="1"/>
        <v>2815</v>
      </c>
      <c r="J35" s="40"/>
      <c r="K35" s="40"/>
      <c r="L35" s="40"/>
      <c r="Z35" s="45" t="e">
        <f>#REF!</f>
        <v>#REF!</v>
      </c>
      <c r="AA35" s="45" t="e">
        <f>#REF!</f>
        <v>#REF!</v>
      </c>
    </row>
    <row r="36" spans="1:27">
      <c r="A36" s="268"/>
      <c r="B36" s="36" t="s">
        <v>144</v>
      </c>
      <c r="C36" s="37">
        <v>1363</v>
      </c>
      <c r="D36" s="37">
        <v>258</v>
      </c>
      <c r="E36" s="37">
        <v>90</v>
      </c>
      <c r="F36" s="37">
        <v>8</v>
      </c>
      <c r="G36" s="38">
        <f t="shared" si="0"/>
        <v>1453</v>
      </c>
      <c r="H36" s="38">
        <f t="shared" si="0"/>
        <v>266</v>
      </c>
      <c r="I36" s="189">
        <f t="shared" si="1"/>
        <v>1719</v>
      </c>
      <c r="J36" s="40"/>
      <c r="K36" s="40"/>
      <c r="L36" s="40"/>
      <c r="Z36" s="45" t="e">
        <f>#REF!</f>
        <v>#REF!</v>
      </c>
      <c r="AA36" s="45" t="e">
        <f>#REF!</f>
        <v>#REF!</v>
      </c>
    </row>
    <row r="37" spans="1:27">
      <c r="A37" s="267" t="s">
        <v>83</v>
      </c>
      <c r="B37" s="36" t="s">
        <v>161</v>
      </c>
      <c r="C37" s="37"/>
      <c r="D37" s="37">
        <v>2</v>
      </c>
      <c r="E37" s="37"/>
      <c r="F37" s="37">
        <v>24</v>
      </c>
      <c r="G37" s="38">
        <f t="shared" si="0"/>
        <v>0</v>
      </c>
      <c r="H37" s="38">
        <f t="shared" si="0"/>
        <v>26</v>
      </c>
      <c r="I37" s="189">
        <f t="shared" si="1"/>
        <v>26</v>
      </c>
      <c r="J37" s="40"/>
      <c r="K37" s="40"/>
      <c r="L37" s="40"/>
      <c r="P37" s="192"/>
      <c r="R37" s="192"/>
      <c r="V37" s="192"/>
      <c r="Z37" s="45" t="e">
        <f>#REF!</f>
        <v>#REF!</v>
      </c>
      <c r="AA37" s="45" t="e">
        <f>#REF!</f>
        <v>#REF!</v>
      </c>
    </row>
    <row r="38" spans="1:27">
      <c r="A38" s="269"/>
      <c r="B38" s="36" t="s">
        <v>39</v>
      </c>
      <c r="C38" s="37"/>
      <c r="D38" s="37"/>
      <c r="E38" s="37">
        <v>1134</v>
      </c>
      <c r="F38" s="37">
        <v>199</v>
      </c>
      <c r="G38" s="38">
        <f t="shared" si="0"/>
        <v>1134</v>
      </c>
      <c r="H38" s="38">
        <f t="shared" si="0"/>
        <v>199</v>
      </c>
      <c r="I38" s="189">
        <f t="shared" si="1"/>
        <v>1333</v>
      </c>
      <c r="J38" s="40"/>
      <c r="K38" s="40"/>
      <c r="L38" s="40"/>
      <c r="P38" s="192"/>
      <c r="R38" s="192"/>
      <c r="V38" s="192"/>
      <c r="Z38" s="45" t="e">
        <f>#REF!</f>
        <v>#REF!</v>
      </c>
      <c r="AA38" s="45" t="e">
        <f>#REF!</f>
        <v>#REF!</v>
      </c>
    </row>
    <row r="39" spans="1:27">
      <c r="A39" s="268"/>
      <c r="B39" s="36" t="s">
        <v>40</v>
      </c>
      <c r="C39" s="37">
        <v>1263</v>
      </c>
      <c r="D39" s="37">
        <v>845</v>
      </c>
      <c r="E39" s="37">
        <v>408</v>
      </c>
      <c r="F39" s="37">
        <v>112</v>
      </c>
      <c r="G39" s="38">
        <f t="shared" si="0"/>
        <v>1671</v>
      </c>
      <c r="H39" s="38">
        <f t="shared" si="0"/>
        <v>957</v>
      </c>
      <c r="I39" s="189">
        <f t="shared" si="1"/>
        <v>2628</v>
      </c>
      <c r="J39" s="40"/>
      <c r="K39" s="40"/>
      <c r="L39" s="40"/>
      <c r="Z39" s="45" t="e">
        <f>#REF!</f>
        <v>#REF!</v>
      </c>
      <c r="AA39" s="45" t="e">
        <f>#REF!</f>
        <v>#REF!</v>
      </c>
    </row>
    <row r="40" spans="1:27">
      <c r="A40" s="267" t="s">
        <v>87</v>
      </c>
      <c r="B40" s="36" t="s">
        <v>92</v>
      </c>
      <c r="C40" s="37">
        <v>98470</v>
      </c>
      <c r="D40" s="37"/>
      <c r="E40" s="37">
        <v>32268</v>
      </c>
      <c r="F40" s="37"/>
      <c r="G40" s="38">
        <f t="shared" si="0"/>
        <v>130738</v>
      </c>
      <c r="H40" s="38">
        <f t="shared" si="0"/>
        <v>0</v>
      </c>
      <c r="I40" s="189">
        <f t="shared" si="1"/>
        <v>130738</v>
      </c>
      <c r="J40" s="40"/>
      <c r="K40" s="40"/>
      <c r="L40" s="40"/>
      <c r="S40" s="192"/>
      <c r="U40" s="192"/>
      <c r="V40" s="192"/>
      <c r="Z40" s="45" t="e">
        <f>#REF!</f>
        <v>#REF!</v>
      </c>
      <c r="AA40" s="45" t="e">
        <f>#REF!</f>
        <v>#REF!</v>
      </c>
    </row>
    <row r="41" spans="1:27">
      <c r="A41" s="268"/>
      <c r="B41" s="36" t="s">
        <v>121</v>
      </c>
      <c r="C41" s="37">
        <v>510</v>
      </c>
      <c r="D41" s="37"/>
      <c r="E41" s="37">
        <v>1394</v>
      </c>
      <c r="F41" s="37"/>
      <c r="G41" s="38">
        <f t="shared" si="0"/>
        <v>1904</v>
      </c>
      <c r="H41" s="38">
        <f t="shared" si="0"/>
        <v>0</v>
      </c>
      <c r="I41" s="189">
        <f t="shared" si="1"/>
        <v>1904</v>
      </c>
      <c r="J41" s="40"/>
      <c r="K41" s="40"/>
      <c r="L41" s="40"/>
      <c r="P41" s="192"/>
      <c r="R41" s="192"/>
      <c r="V41" s="192"/>
    </row>
    <row r="42" spans="1:27">
      <c r="A42" s="270" t="s">
        <v>84</v>
      </c>
      <c r="B42" s="270"/>
      <c r="C42" s="196">
        <f t="shared" ref="C42:H42" si="2">SUM(C7:C41)</f>
        <v>267945</v>
      </c>
      <c r="D42" s="196">
        <f t="shared" si="2"/>
        <v>262552</v>
      </c>
      <c r="E42" s="196">
        <f t="shared" si="2"/>
        <v>273623</v>
      </c>
      <c r="F42" s="196">
        <f t="shared" si="2"/>
        <v>31582</v>
      </c>
      <c r="G42" s="196">
        <f t="shared" si="2"/>
        <v>541568</v>
      </c>
      <c r="H42" s="196">
        <f t="shared" si="2"/>
        <v>294134</v>
      </c>
      <c r="I42" s="189">
        <f t="shared" si="1"/>
        <v>835702</v>
      </c>
      <c r="J42" s="40"/>
      <c r="K42" s="40"/>
      <c r="L42" s="40"/>
      <c r="P42" s="192"/>
      <c r="R42" s="192"/>
      <c r="S42" s="192"/>
      <c r="U42" s="192"/>
      <c r="V42" s="192"/>
    </row>
    <row r="43" spans="1:27">
      <c r="F43" s="40"/>
      <c r="I43" s="40"/>
      <c r="S43" s="192"/>
      <c r="U43" s="192"/>
      <c r="V43" s="192"/>
    </row>
    <row r="44" spans="1:27">
      <c r="A44" s="41" t="s">
        <v>86</v>
      </c>
      <c r="P44" s="192"/>
      <c r="Q44" s="192"/>
      <c r="R44" s="192"/>
      <c r="S44" s="192"/>
      <c r="T44" s="192"/>
      <c r="U44" s="192"/>
      <c r="V44" s="192"/>
    </row>
    <row r="45" spans="1:27">
      <c r="A45" s="41" t="s">
        <v>147</v>
      </c>
    </row>
  </sheetData>
  <mergeCells count="16">
    <mergeCell ref="A40:A41"/>
    <mergeCell ref="A34:A36"/>
    <mergeCell ref="A37:A39"/>
    <mergeCell ref="A42:B42"/>
    <mergeCell ref="A7:A8"/>
    <mergeCell ref="A9:A21"/>
    <mergeCell ref="A23:A26"/>
    <mergeCell ref="A27:A30"/>
    <mergeCell ref="A32:A33"/>
    <mergeCell ref="A2:I2"/>
    <mergeCell ref="A5:A6"/>
    <mergeCell ref="B5:B6"/>
    <mergeCell ref="C5:D5"/>
    <mergeCell ref="E5:F5"/>
    <mergeCell ref="G5:H5"/>
    <mergeCell ref="I5:I6"/>
  </mergeCells>
  <phoneticPr fontId="1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Q54"/>
  <sheetViews>
    <sheetView topLeftCell="A4" zoomScaleNormal="100" workbookViewId="0">
      <selection activeCell="E15" sqref="E15"/>
    </sheetView>
  </sheetViews>
  <sheetFormatPr defaultRowHeight="12"/>
  <cols>
    <col min="1" max="1" width="15.7109375" style="22" customWidth="1"/>
    <col min="2" max="2" width="22.140625" style="22" customWidth="1"/>
    <col min="3" max="7" width="15.7109375" style="22" customWidth="1"/>
    <col min="8" max="16384" width="9.140625" style="22"/>
  </cols>
  <sheetData>
    <row r="1" spans="1:17" ht="15" customHeight="1">
      <c r="A1" s="272" t="s">
        <v>171</v>
      </c>
      <c r="B1" s="273"/>
      <c r="C1" s="273"/>
      <c r="D1" s="273"/>
      <c r="E1" s="273"/>
      <c r="F1" s="273"/>
      <c r="G1" s="273"/>
    </row>
    <row r="2" spans="1:17">
      <c r="A2" s="273"/>
      <c r="B2" s="273"/>
      <c r="C2" s="273"/>
      <c r="D2" s="273"/>
      <c r="E2" s="273"/>
      <c r="F2" s="273"/>
      <c r="G2" s="273"/>
    </row>
    <row r="3" spans="1:17" ht="23.25" customHeight="1">
      <c r="A3" s="278" t="s">
        <v>97</v>
      </c>
      <c r="B3" s="278"/>
      <c r="C3" s="278"/>
      <c r="D3" s="278"/>
      <c r="E3" s="278"/>
      <c r="F3" s="278"/>
      <c r="G3" s="278"/>
    </row>
    <row r="5" spans="1:17">
      <c r="A5" s="274" t="s">
        <v>42</v>
      </c>
      <c r="B5" s="274"/>
      <c r="C5" s="274"/>
      <c r="D5" s="274"/>
      <c r="E5" s="274"/>
      <c r="F5" s="274"/>
      <c r="G5" s="274"/>
    </row>
    <row r="6" spans="1:17" ht="12" customHeight="1">
      <c r="A6" s="274" t="s">
        <v>177</v>
      </c>
      <c r="B6" s="274"/>
      <c r="C6" s="274"/>
      <c r="D6" s="274"/>
      <c r="E6" s="274"/>
      <c r="F6" s="274"/>
      <c r="G6" s="274"/>
    </row>
    <row r="8" spans="1:17" ht="15" customHeight="1">
      <c r="A8" s="279" t="s">
        <v>88</v>
      </c>
      <c r="B8" s="62" t="s">
        <v>44</v>
      </c>
      <c r="C8" s="63" t="s">
        <v>46</v>
      </c>
      <c r="D8" s="282" t="s">
        <v>23</v>
      </c>
      <c r="E8" s="283"/>
      <c r="F8" s="282" t="s">
        <v>19</v>
      </c>
      <c r="G8" s="283"/>
    </row>
    <row r="9" spans="1:17" ht="15" customHeight="1">
      <c r="A9" s="280"/>
      <c r="B9" s="64" t="s">
        <v>89</v>
      </c>
      <c r="C9" s="65"/>
      <c r="D9" s="66" t="s">
        <v>90</v>
      </c>
      <c r="E9" s="66" t="s">
        <v>91</v>
      </c>
      <c r="F9" s="66" t="s">
        <v>90</v>
      </c>
      <c r="G9" s="67" t="s">
        <v>91</v>
      </c>
    </row>
    <row r="10" spans="1:17" ht="15" customHeight="1">
      <c r="A10" s="281"/>
      <c r="B10" s="64" t="s">
        <v>43</v>
      </c>
      <c r="C10" s="65" t="s">
        <v>45</v>
      </c>
      <c r="D10" s="66" t="s">
        <v>45</v>
      </c>
      <c r="E10" s="66" t="s">
        <v>45</v>
      </c>
      <c r="F10" s="66" t="s">
        <v>45</v>
      </c>
      <c r="G10" s="67" t="s">
        <v>45</v>
      </c>
      <c r="M10" s="191"/>
      <c r="N10" s="191"/>
      <c r="O10" s="191"/>
      <c r="P10" s="191"/>
      <c r="Q10" s="191"/>
    </row>
    <row r="11" spans="1:17" ht="15" customHeight="1">
      <c r="A11" s="68" t="s">
        <v>46</v>
      </c>
      <c r="B11" s="68"/>
      <c r="C11" s="190">
        <f>SUM(D11:G11)</f>
        <v>835702</v>
      </c>
      <c r="D11" s="190">
        <f>SUM(D12:D51)</f>
        <v>533797</v>
      </c>
      <c r="E11" s="190">
        <f t="shared" ref="E11:G11" si="0">SUM(E12:E51)</f>
        <v>7771</v>
      </c>
      <c r="F11" s="190">
        <f t="shared" si="0"/>
        <v>114612</v>
      </c>
      <c r="G11" s="190">
        <f t="shared" si="0"/>
        <v>179522</v>
      </c>
      <c r="L11" s="191"/>
      <c r="M11" s="191"/>
      <c r="N11" s="191"/>
      <c r="O11" s="191"/>
      <c r="P11" s="191"/>
    </row>
    <row r="12" spans="1:17" ht="15" customHeight="1">
      <c r="A12" s="275" t="s">
        <v>66</v>
      </c>
      <c r="B12" s="71" t="s">
        <v>47</v>
      </c>
      <c r="C12" s="190">
        <f>SUM(D12:G12)</f>
        <v>772</v>
      </c>
      <c r="D12" s="72"/>
      <c r="E12" s="72"/>
      <c r="F12" s="73">
        <v>496</v>
      </c>
      <c r="G12" s="74">
        <v>276</v>
      </c>
    </row>
    <row r="13" spans="1:17" ht="15" customHeight="1">
      <c r="A13" s="276"/>
      <c r="B13" s="71" t="s">
        <v>20</v>
      </c>
      <c r="C13" s="190">
        <f t="shared" ref="C13:C51" si="1">SUM(D13:G13)</f>
        <v>28</v>
      </c>
      <c r="D13" s="72"/>
      <c r="E13" s="72"/>
      <c r="F13" s="73">
        <v>18</v>
      </c>
      <c r="G13" s="74">
        <v>10</v>
      </c>
    </row>
    <row r="14" spans="1:17" ht="15" customHeight="1">
      <c r="A14" s="276"/>
      <c r="B14" s="71" t="s">
        <v>21</v>
      </c>
      <c r="C14" s="190">
        <f t="shared" si="1"/>
        <v>55</v>
      </c>
      <c r="D14" s="72"/>
      <c r="E14" s="72"/>
      <c r="F14" s="73">
        <v>28</v>
      </c>
      <c r="G14" s="74">
        <v>27</v>
      </c>
      <c r="L14" s="191"/>
      <c r="M14" s="191"/>
      <c r="N14" s="191"/>
      <c r="O14" s="191"/>
      <c r="P14" s="191"/>
      <c r="Q14" s="191"/>
    </row>
    <row r="15" spans="1:17" ht="15" customHeight="1">
      <c r="A15" s="276"/>
      <c r="B15" s="71" t="s">
        <v>22</v>
      </c>
      <c r="C15" s="190">
        <f t="shared" si="1"/>
        <v>4520</v>
      </c>
      <c r="D15" s="72">
        <v>3</v>
      </c>
      <c r="E15" s="73"/>
      <c r="F15" s="73">
        <v>2633</v>
      </c>
      <c r="G15" s="74">
        <v>1884</v>
      </c>
      <c r="L15" s="191"/>
      <c r="N15" s="191"/>
      <c r="O15" s="191"/>
      <c r="P15" s="191"/>
    </row>
    <row r="16" spans="1:17" ht="15" customHeight="1">
      <c r="A16" s="276"/>
      <c r="B16" s="71" t="s">
        <v>24</v>
      </c>
      <c r="C16" s="190">
        <f t="shared" si="1"/>
        <v>796</v>
      </c>
      <c r="D16" s="72"/>
      <c r="E16" s="72"/>
      <c r="F16" s="73">
        <v>425</v>
      </c>
      <c r="G16" s="74">
        <v>371</v>
      </c>
      <c r="M16" s="191"/>
      <c r="P16" s="191"/>
    </row>
    <row r="17" spans="1:17" ht="15" customHeight="1">
      <c r="A17" s="277"/>
      <c r="B17" s="71" t="s">
        <v>25</v>
      </c>
      <c r="C17" s="190">
        <f t="shared" si="1"/>
        <v>2958</v>
      </c>
      <c r="D17" s="72">
        <v>1</v>
      </c>
      <c r="E17" s="72"/>
      <c r="F17" s="73">
        <v>1538</v>
      </c>
      <c r="G17" s="74">
        <v>1419</v>
      </c>
      <c r="L17" s="191"/>
      <c r="M17" s="191"/>
      <c r="N17" s="191"/>
      <c r="O17" s="191"/>
      <c r="P17" s="191"/>
      <c r="Q17" s="191"/>
    </row>
    <row r="18" spans="1:17" ht="15" customHeight="1">
      <c r="A18" s="275" t="s">
        <v>69</v>
      </c>
      <c r="B18" s="71" t="s">
        <v>4</v>
      </c>
      <c r="C18" s="190">
        <f t="shared" si="1"/>
        <v>34186</v>
      </c>
      <c r="D18" s="72"/>
      <c r="E18" s="72"/>
      <c r="F18" s="73">
        <v>17982</v>
      </c>
      <c r="G18" s="74">
        <v>16204</v>
      </c>
      <c r="L18" s="191"/>
      <c r="M18" s="191"/>
      <c r="N18" s="191"/>
      <c r="O18" s="191"/>
      <c r="P18" s="191"/>
      <c r="Q18" s="191"/>
    </row>
    <row r="19" spans="1:17" ht="15" customHeight="1">
      <c r="A19" s="276"/>
      <c r="B19" s="71" t="s">
        <v>5</v>
      </c>
      <c r="C19" s="190">
        <f t="shared" si="1"/>
        <v>165746</v>
      </c>
      <c r="D19" s="73">
        <v>55694</v>
      </c>
      <c r="E19" s="73">
        <v>30</v>
      </c>
      <c r="F19" s="73">
        <v>38804</v>
      </c>
      <c r="G19" s="74">
        <v>71218</v>
      </c>
      <c r="L19" s="191"/>
      <c r="M19" s="191"/>
      <c r="N19" s="191"/>
      <c r="O19" s="191"/>
      <c r="P19" s="191"/>
      <c r="Q19" s="191"/>
    </row>
    <row r="20" spans="1:17" ht="15" customHeight="1">
      <c r="A20" s="276"/>
      <c r="B20" s="71" t="s">
        <v>6</v>
      </c>
      <c r="C20" s="190">
        <f t="shared" si="1"/>
        <v>14541</v>
      </c>
      <c r="D20" s="73"/>
      <c r="E20" s="72"/>
      <c r="F20" s="73">
        <v>4806</v>
      </c>
      <c r="G20" s="74">
        <v>9735</v>
      </c>
      <c r="L20" s="191"/>
      <c r="M20" s="191"/>
      <c r="N20" s="191"/>
      <c r="O20" s="191"/>
      <c r="P20" s="191"/>
      <c r="Q20" s="191"/>
    </row>
    <row r="21" spans="1:17" ht="15" customHeight="1">
      <c r="A21" s="276"/>
      <c r="B21" s="71" t="s">
        <v>7</v>
      </c>
      <c r="C21" s="190">
        <f t="shared" si="1"/>
        <v>67994</v>
      </c>
      <c r="D21" s="73">
        <v>48124</v>
      </c>
      <c r="E21" s="73">
        <v>111</v>
      </c>
      <c r="F21" s="73">
        <v>5189</v>
      </c>
      <c r="G21" s="74">
        <v>14570</v>
      </c>
      <c r="L21" s="191"/>
      <c r="M21" s="191"/>
      <c r="N21" s="191"/>
      <c r="O21" s="191"/>
      <c r="P21" s="191"/>
      <c r="Q21" s="191"/>
    </row>
    <row r="22" spans="1:17" ht="15" customHeight="1">
      <c r="A22" s="276"/>
      <c r="B22" s="71" t="s">
        <v>8</v>
      </c>
      <c r="C22" s="190">
        <f t="shared" si="1"/>
        <v>91116</v>
      </c>
      <c r="D22" s="73">
        <v>10374</v>
      </c>
      <c r="E22" s="73">
        <v>34</v>
      </c>
      <c r="F22" s="73">
        <v>36374</v>
      </c>
      <c r="G22" s="74">
        <v>44334</v>
      </c>
      <c r="L22" s="191"/>
      <c r="M22" s="191"/>
      <c r="N22" s="191"/>
      <c r="O22" s="191"/>
      <c r="P22" s="191"/>
      <c r="Q22" s="191"/>
    </row>
    <row r="23" spans="1:17" ht="15" customHeight="1">
      <c r="A23" s="276"/>
      <c r="B23" s="71" t="s">
        <v>9</v>
      </c>
      <c r="C23" s="190">
        <f t="shared" si="1"/>
        <v>52450</v>
      </c>
      <c r="D23" s="73">
        <v>43926</v>
      </c>
      <c r="E23" s="73">
        <v>1051</v>
      </c>
      <c r="F23" s="73">
        <v>1332</v>
      </c>
      <c r="G23" s="74">
        <v>6141</v>
      </c>
      <c r="L23" s="191"/>
      <c r="M23" s="191"/>
      <c r="O23" s="191"/>
      <c r="P23" s="191"/>
    </row>
    <row r="24" spans="1:17" ht="15" customHeight="1">
      <c r="A24" s="276"/>
      <c r="B24" s="71" t="s">
        <v>26</v>
      </c>
      <c r="C24" s="190">
        <f t="shared" si="1"/>
        <v>286</v>
      </c>
      <c r="D24" s="73">
        <v>6</v>
      </c>
      <c r="E24" s="72"/>
      <c r="F24" s="73">
        <v>110</v>
      </c>
      <c r="G24" s="74">
        <v>170</v>
      </c>
      <c r="L24" s="191"/>
      <c r="M24" s="191"/>
      <c r="O24" s="191"/>
      <c r="P24" s="191"/>
    </row>
    <row r="25" spans="1:17" ht="15" customHeight="1">
      <c r="A25" s="276"/>
      <c r="B25" s="71" t="s">
        <v>27</v>
      </c>
      <c r="C25" s="190">
        <f t="shared" si="1"/>
        <v>29</v>
      </c>
      <c r="D25" s="72"/>
      <c r="E25" s="72"/>
      <c r="F25" s="73">
        <v>15</v>
      </c>
      <c r="G25" s="74">
        <v>14</v>
      </c>
      <c r="L25" s="191"/>
      <c r="M25" s="191"/>
      <c r="O25" s="191"/>
      <c r="P25" s="191"/>
    </row>
    <row r="26" spans="1:17" ht="15" customHeight="1">
      <c r="A26" s="276"/>
      <c r="B26" s="71" t="s">
        <v>28</v>
      </c>
      <c r="C26" s="190">
        <f t="shared" si="1"/>
        <v>348</v>
      </c>
      <c r="D26" s="72">
        <v>102</v>
      </c>
      <c r="E26" s="73">
        <v>14</v>
      </c>
      <c r="F26" s="73">
        <v>78</v>
      </c>
      <c r="G26" s="74">
        <v>154</v>
      </c>
      <c r="L26" s="191"/>
      <c r="M26" s="191"/>
      <c r="P26" s="191"/>
    </row>
    <row r="27" spans="1:17" ht="15" customHeight="1">
      <c r="A27" s="276"/>
      <c r="B27" s="71" t="s">
        <v>29</v>
      </c>
      <c r="C27" s="190">
        <f t="shared" si="1"/>
        <v>567</v>
      </c>
      <c r="D27" s="72">
        <v>239</v>
      </c>
      <c r="E27" s="73">
        <v>25</v>
      </c>
      <c r="F27" s="73">
        <v>61</v>
      </c>
      <c r="G27" s="74">
        <v>242</v>
      </c>
      <c r="M27" s="191"/>
      <c r="P27" s="191"/>
      <c r="Q27" s="191"/>
    </row>
    <row r="28" spans="1:17" ht="15" customHeight="1">
      <c r="A28" s="276"/>
      <c r="B28" s="71" t="s">
        <v>11</v>
      </c>
      <c r="C28" s="190">
        <f t="shared" si="1"/>
        <v>8609</v>
      </c>
      <c r="D28" s="72"/>
      <c r="E28" s="72"/>
      <c r="F28" s="73">
        <v>2148</v>
      </c>
      <c r="G28" s="74">
        <v>6461</v>
      </c>
      <c r="L28" s="191"/>
      <c r="M28" s="191"/>
      <c r="N28" s="191"/>
      <c r="O28" s="191"/>
      <c r="P28" s="191"/>
      <c r="Q28" s="191"/>
    </row>
    <row r="29" spans="1:17" ht="15" customHeight="1">
      <c r="A29" s="276"/>
      <c r="B29" s="71" t="s">
        <v>12</v>
      </c>
      <c r="C29" s="190">
        <f t="shared" si="1"/>
        <v>5963</v>
      </c>
      <c r="D29" s="73">
        <v>2892</v>
      </c>
      <c r="E29" s="73">
        <v>174</v>
      </c>
      <c r="F29" s="73">
        <v>743</v>
      </c>
      <c r="G29" s="74">
        <v>2154</v>
      </c>
      <c r="L29" s="191"/>
      <c r="M29" s="191"/>
      <c r="O29" s="191"/>
      <c r="P29" s="191"/>
    </row>
    <row r="30" spans="1:17" ht="15" customHeight="1">
      <c r="A30" s="277"/>
      <c r="B30" s="71" t="s">
        <v>30</v>
      </c>
      <c r="C30" s="190">
        <f t="shared" si="1"/>
        <v>16</v>
      </c>
      <c r="D30" s="73"/>
      <c r="E30" s="72"/>
      <c r="F30" s="73">
        <v>4</v>
      </c>
      <c r="G30" s="74">
        <v>12</v>
      </c>
    </row>
    <row r="31" spans="1:17" ht="15" customHeight="1">
      <c r="A31" s="71" t="s">
        <v>76</v>
      </c>
      <c r="B31" s="71" t="s">
        <v>31</v>
      </c>
      <c r="C31" s="190">
        <f t="shared" si="1"/>
        <v>367</v>
      </c>
      <c r="D31" s="73">
        <v>13</v>
      </c>
      <c r="E31" s="72"/>
      <c r="F31" s="73">
        <v>142</v>
      </c>
      <c r="G31" s="74">
        <v>212</v>
      </c>
      <c r="L31" s="191"/>
      <c r="O31" s="191"/>
      <c r="P31" s="191"/>
    </row>
    <row r="32" spans="1:17" ht="15" customHeight="1">
      <c r="A32" s="275" t="s">
        <v>78</v>
      </c>
      <c r="B32" s="71" t="s">
        <v>32</v>
      </c>
      <c r="C32" s="190">
        <f t="shared" si="1"/>
        <v>177</v>
      </c>
      <c r="D32" s="72"/>
      <c r="E32" s="72"/>
      <c r="F32" s="73">
        <v>66</v>
      </c>
      <c r="G32" s="74">
        <v>111</v>
      </c>
      <c r="L32" s="191"/>
      <c r="M32" s="191"/>
      <c r="N32" s="191"/>
      <c r="P32" s="191"/>
    </row>
    <row r="33" spans="1:15" ht="15" customHeight="1">
      <c r="A33" s="276"/>
      <c r="B33" s="71" t="s">
        <v>33</v>
      </c>
      <c r="C33" s="190">
        <f t="shared" si="1"/>
        <v>1845</v>
      </c>
      <c r="D33" s="73">
        <v>1721</v>
      </c>
      <c r="E33" s="73"/>
      <c r="F33" s="73">
        <v>23</v>
      </c>
      <c r="G33" s="74">
        <v>101</v>
      </c>
      <c r="L33" s="191"/>
      <c r="M33" s="191"/>
    </row>
    <row r="34" spans="1:15" ht="15" customHeight="1">
      <c r="A34" s="276"/>
      <c r="B34" s="71" t="s">
        <v>34</v>
      </c>
      <c r="C34" s="190">
        <f t="shared" si="1"/>
        <v>215</v>
      </c>
      <c r="D34" s="73"/>
      <c r="E34" s="72"/>
      <c r="F34" s="73">
        <v>39</v>
      </c>
      <c r="G34" s="74">
        <v>176</v>
      </c>
    </row>
    <row r="35" spans="1:15" ht="15" customHeight="1">
      <c r="A35" s="277"/>
      <c r="B35" s="71" t="s">
        <v>35</v>
      </c>
      <c r="C35" s="190">
        <f t="shared" si="1"/>
        <v>582</v>
      </c>
      <c r="D35" s="73">
        <v>416</v>
      </c>
      <c r="E35" s="73">
        <v>60</v>
      </c>
      <c r="F35" s="73">
        <v>10</v>
      </c>
      <c r="G35" s="74">
        <v>96</v>
      </c>
    </row>
    <row r="36" spans="1:15" ht="15" customHeight="1">
      <c r="A36" s="275" t="s">
        <v>79</v>
      </c>
      <c r="B36" s="71" t="s">
        <v>48</v>
      </c>
      <c r="C36" s="190">
        <f t="shared" si="1"/>
        <v>1676</v>
      </c>
      <c r="D36" s="72"/>
      <c r="E36" s="72"/>
      <c r="F36" s="73">
        <v>644</v>
      </c>
      <c r="G36" s="74">
        <v>1032</v>
      </c>
      <c r="L36" s="191"/>
      <c r="M36" s="191"/>
      <c r="N36" s="191"/>
    </row>
    <row r="37" spans="1:15" ht="15" customHeight="1">
      <c r="A37" s="276"/>
      <c r="B37" s="71" t="s">
        <v>49</v>
      </c>
      <c r="C37" s="190">
        <f t="shared" si="1"/>
        <v>7237</v>
      </c>
      <c r="D37" s="73">
        <v>6564</v>
      </c>
      <c r="E37" s="73">
        <v>17</v>
      </c>
      <c r="F37" s="73">
        <v>187</v>
      </c>
      <c r="G37" s="74">
        <v>469</v>
      </c>
      <c r="L37" s="191"/>
      <c r="M37" s="191"/>
    </row>
    <row r="38" spans="1:15" ht="15" customHeight="1">
      <c r="A38" s="276"/>
      <c r="B38" s="71" t="s">
        <v>50</v>
      </c>
      <c r="C38" s="190">
        <f t="shared" si="1"/>
        <v>293</v>
      </c>
      <c r="D38" s="73"/>
      <c r="E38" s="72"/>
      <c r="F38" s="73">
        <v>48</v>
      </c>
      <c r="G38" s="74">
        <v>245</v>
      </c>
    </row>
    <row r="39" spans="1:15" ht="15" customHeight="1">
      <c r="A39" s="277"/>
      <c r="B39" s="71" t="s">
        <v>51</v>
      </c>
      <c r="C39" s="190">
        <f t="shared" si="1"/>
        <v>272</v>
      </c>
      <c r="D39" s="73">
        <v>220</v>
      </c>
      <c r="E39" s="73">
        <v>28</v>
      </c>
      <c r="F39" s="73">
        <v>2</v>
      </c>
      <c r="G39" s="74">
        <v>22</v>
      </c>
      <c r="M39" s="191"/>
      <c r="N39" s="191"/>
      <c r="O39" s="191"/>
    </row>
    <row r="40" spans="1:15" ht="15" customHeight="1">
      <c r="A40" s="275" t="s">
        <v>80</v>
      </c>
      <c r="B40" s="71" t="s">
        <v>36</v>
      </c>
      <c r="C40" s="190">
        <f t="shared" si="1"/>
        <v>24230</v>
      </c>
      <c r="D40" s="73">
        <v>23446</v>
      </c>
      <c r="E40" s="73">
        <v>784</v>
      </c>
      <c r="F40" s="72"/>
      <c r="G40" s="75"/>
      <c r="L40" s="246"/>
      <c r="M40" s="191"/>
      <c r="N40" s="191"/>
    </row>
    <row r="41" spans="1:15" ht="15" customHeight="1">
      <c r="A41" s="276"/>
      <c r="B41" s="71" t="s">
        <v>37</v>
      </c>
      <c r="C41" s="190">
        <f>SUM(D41:G41)</f>
        <v>159540</v>
      </c>
      <c r="D41" s="73">
        <v>159239</v>
      </c>
      <c r="E41" s="73">
        <v>301</v>
      </c>
      <c r="G41" s="75"/>
      <c r="L41" s="191"/>
      <c r="M41" s="191"/>
      <c r="N41" s="191"/>
    </row>
    <row r="42" spans="1:15" ht="15" customHeight="1">
      <c r="A42" s="277"/>
      <c r="B42" s="71" t="s">
        <v>18</v>
      </c>
      <c r="C42" s="190">
        <f t="shared" si="1"/>
        <v>810</v>
      </c>
      <c r="D42" s="73">
        <v>805</v>
      </c>
      <c r="E42" s="73">
        <v>5</v>
      </c>
      <c r="F42" s="72"/>
      <c r="G42" s="75"/>
      <c r="L42" s="191"/>
      <c r="M42" s="191"/>
      <c r="N42" s="191"/>
    </row>
    <row r="43" spans="1:15" ht="15" customHeight="1">
      <c r="A43" s="275" t="s">
        <v>168</v>
      </c>
      <c r="B43" s="71" t="s">
        <v>52</v>
      </c>
      <c r="C43" s="190">
        <f t="shared" si="1"/>
        <v>45957</v>
      </c>
      <c r="D43" s="73">
        <v>45910</v>
      </c>
      <c r="E43" s="73">
        <v>47</v>
      </c>
      <c r="F43" s="72"/>
      <c r="G43" s="75"/>
      <c r="L43" s="191"/>
      <c r="M43" s="191"/>
      <c r="N43" s="191"/>
    </row>
    <row r="44" spans="1:15" ht="15" customHeight="1">
      <c r="A44" s="277"/>
      <c r="B44" s="71" t="s">
        <v>53</v>
      </c>
      <c r="C44" s="190">
        <f t="shared" si="1"/>
        <v>202</v>
      </c>
      <c r="D44" s="73">
        <v>147</v>
      </c>
      <c r="E44" s="73">
        <v>55</v>
      </c>
      <c r="F44" s="72"/>
      <c r="G44" s="75"/>
      <c r="L44" s="191"/>
      <c r="M44" s="191"/>
    </row>
    <row r="45" spans="1:15" ht="15" customHeight="1">
      <c r="A45" s="275" t="s">
        <v>81</v>
      </c>
      <c r="B45" s="71" t="s">
        <v>162</v>
      </c>
      <c r="C45" s="190">
        <f t="shared" si="1"/>
        <v>156</v>
      </c>
      <c r="D45" s="72"/>
      <c r="E45" s="72"/>
      <c r="F45" s="73">
        <v>54</v>
      </c>
      <c r="G45" s="74">
        <v>102</v>
      </c>
      <c r="L45" s="191"/>
      <c r="M45" s="191"/>
      <c r="N45" s="191"/>
    </row>
    <row r="46" spans="1:15" ht="15" customHeight="1">
      <c r="A46" s="276"/>
      <c r="B46" s="71" t="s">
        <v>38</v>
      </c>
      <c r="C46" s="190">
        <f t="shared" si="1"/>
        <v>2815</v>
      </c>
      <c r="D46" s="73">
        <v>1963</v>
      </c>
      <c r="E46" s="73">
        <v>127</v>
      </c>
      <c r="F46" s="73">
        <v>207</v>
      </c>
      <c r="G46" s="74">
        <v>518</v>
      </c>
      <c r="L46" s="191"/>
      <c r="M46" s="191"/>
      <c r="N46" s="191"/>
    </row>
    <row r="47" spans="1:15" ht="15" customHeight="1">
      <c r="A47" s="277"/>
      <c r="B47" s="71" t="s">
        <v>145</v>
      </c>
      <c r="C47" s="190">
        <f t="shared" si="1"/>
        <v>1719</v>
      </c>
      <c r="D47" s="73">
        <v>1354</v>
      </c>
      <c r="E47" s="73">
        <v>99</v>
      </c>
      <c r="F47" s="73">
        <v>61</v>
      </c>
      <c r="G47" s="74">
        <v>205</v>
      </c>
      <c r="L47" s="191"/>
      <c r="M47" s="191"/>
    </row>
    <row r="48" spans="1:15" ht="15" customHeight="1">
      <c r="A48" s="275" t="s">
        <v>83</v>
      </c>
      <c r="B48" s="71" t="s">
        <v>161</v>
      </c>
      <c r="C48" s="190">
        <f t="shared" si="1"/>
        <v>26</v>
      </c>
      <c r="D48" s="73"/>
      <c r="E48" s="72"/>
      <c r="F48" s="73">
        <v>7</v>
      </c>
      <c r="G48" s="74">
        <v>19</v>
      </c>
      <c r="M48" s="191"/>
      <c r="N48" s="191"/>
    </row>
    <row r="49" spans="1:15" ht="15" customHeight="1">
      <c r="A49" s="276"/>
      <c r="B49" s="71" t="s">
        <v>39</v>
      </c>
      <c r="C49" s="190">
        <f t="shared" si="1"/>
        <v>1333</v>
      </c>
      <c r="D49" s="73">
        <v>1134</v>
      </c>
      <c r="E49" s="72"/>
      <c r="F49" s="73">
        <v>34</v>
      </c>
      <c r="G49" s="74">
        <v>165</v>
      </c>
      <c r="L49" s="191"/>
      <c r="M49" s="191"/>
      <c r="N49" s="191"/>
    </row>
    <row r="50" spans="1:15" ht="15" customHeight="1">
      <c r="A50" s="277"/>
      <c r="B50" s="71" t="s">
        <v>40</v>
      </c>
      <c r="C50" s="190">
        <f t="shared" si="1"/>
        <v>2628</v>
      </c>
      <c r="D50" s="73">
        <v>1667</v>
      </c>
      <c r="E50" s="73">
        <v>4</v>
      </c>
      <c r="F50" s="73">
        <v>304</v>
      </c>
      <c r="G50" s="74">
        <v>653</v>
      </c>
      <c r="L50" s="191"/>
      <c r="M50" s="191"/>
      <c r="N50" s="191"/>
      <c r="O50" s="191"/>
    </row>
    <row r="51" spans="1:15" ht="15" customHeight="1">
      <c r="A51" s="71" t="s">
        <v>92</v>
      </c>
      <c r="B51" s="71" t="s">
        <v>41</v>
      </c>
      <c r="C51" s="190">
        <f t="shared" si="1"/>
        <v>132642</v>
      </c>
      <c r="D51" s="73">
        <v>127837</v>
      </c>
      <c r="E51" s="73">
        <v>4805</v>
      </c>
      <c r="F51" s="72"/>
      <c r="G51" s="75"/>
      <c r="L51" s="191"/>
      <c r="M51" s="191"/>
      <c r="N51" s="191"/>
    </row>
    <row r="52" spans="1:15">
      <c r="L52" s="191"/>
      <c r="M52" s="191"/>
    </row>
    <row r="53" spans="1:15">
      <c r="L53" s="191"/>
      <c r="M53" s="191"/>
    </row>
    <row r="54" spans="1:15">
      <c r="L54" s="191"/>
      <c r="M54" s="191"/>
      <c r="N54" s="191"/>
    </row>
  </sheetData>
  <mergeCells count="16">
    <mergeCell ref="A36:A39"/>
    <mergeCell ref="A40:A42"/>
    <mergeCell ref="A43:A44"/>
    <mergeCell ref="A45:A47"/>
    <mergeCell ref="A48:A50"/>
    <mergeCell ref="A1:G1"/>
    <mergeCell ref="A6:G6"/>
    <mergeCell ref="A12:A17"/>
    <mergeCell ref="A18:A30"/>
    <mergeCell ref="A32:A35"/>
    <mergeCell ref="A2:G2"/>
    <mergeCell ref="A3:G3"/>
    <mergeCell ref="A5:G5"/>
    <mergeCell ref="A8:A10"/>
    <mergeCell ref="D8:E8"/>
    <mergeCell ref="F8:G8"/>
  </mergeCells>
  <phoneticPr fontId="17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Q49"/>
  <sheetViews>
    <sheetView topLeftCell="A7" zoomScaleNormal="100" workbookViewId="0">
      <selection activeCell="I18" sqref="I18"/>
    </sheetView>
  </sheetViews>
  <sheetFormatPr defaultRowHeight="12"/>
  <cols>
    <col min="1" max="1" width="7.85546875" style="22" customWidth="1"/>
    <col min="2" max="2" width="9.28515625" style="22" customWidth="1"/>
    <col min="3" max="3" width="9" style="22" customWidth="1"/>
    <col min="4" max="4" width="8.7109375" style="22" customWidth="1"/>
    <col min="5" max="5" width="9" style="22" customWidth="1"/>
    <col min="6" max="6" width="8.7109375" style="22" customWidth="1"/>
    <col min="7" max="7" width="9" style="22" customWidth="1"/>
    <col min="8" max="8" width="8.7109375" style="22" customWidth="1"/>
    <col min="9" max="9" width="9" style="22" customWidth="1"/>
    <col min="10" max="10" width="8.7109375" style="22" customWidth="1"/>
    <col min="11" max="11" width="9" style="22" customWidth="1"/>
    <col min="12" max="12" width="8.7109375" style="22" customWidth="1"/>
    <col min="13" max="13" width="9" style="22" customWidth="1"/>
    <col min="14" max="14" width="8.7109375" style="22" customWidth="1"/>
    <col min="15" max="15" width="9" style="22" customWidth="1"/>
    <col min="16" max="16" width="8.7109375" style="22" customWidth="1"/>
    <col min="17" max="17" width="9" style="22" customWidth="1"/>
    <col min="18" max="18" width="8.7109375" style="22" customWidth="1"/>
    <col min="19" max="19" width="9" style="22" customWidth="1"/>
    <col min="20" max="20" width="8.7109375" style="22" customWidth="1"/>
    <col min="21" max="21" width="9" style="22" customWidth="1"/>
    <col min="22" max="22" width="8.7109375" style="22" customWidth="1"/>
    <col min="23" max="23" width="9" style="22" customWidth="1"/>
    <col min="24" max="24" width="8.7109375" style="22" customWidth="1"/>
    <col min="25" max="25" width="9" style="22" customWidth="1"/>
    <col min="26" max="26" width="8.7109375" style="22" customWidth="1"/>
    <col min="27" max="27" width="9" style="22" customWidth="1"/>
    <col min="28" max="28" width="8.7109375" style="22" customWidth="1"/>
    <col min="29" max="29" width="9" style="22" customWidth="1"/>
    <col min="30" max="30" width="8.7109375" style="22" customWidth="1"/>
    <col min="31" max="31" width="9" style="22" customWidth="1"/>
    <col min="32" max="32" width="8.7109375" style="22" customWidth="1"/>
    <col min="33" max="33" width="9" style="22" customWidth="1"/>
    <col min="34" max="34" width="8.7109375" style="22" customWidth="1"/>
    <col min="35" max="35" width="9" style="22" customWidth="1"/>
    <col min="36" max="36" width="8.7109375" style="22" customWidth="1"/>
    <col min="37" max="37" width="9" style="22" customWidth="1"/>
    <col min="38" max="38" width="8.7109375" style="22" customWidth="1"/>
    <col min="39" max="39" width="9" style="22" customWidth="1"/>
    <col min="40" max="40" width="8.7109375" style="22" customWidth="1"/>
    <col min="41" max="41" width="9" style="22" customWidth="1"/>
    <col min="42" max="42" width="8.7109375" style="22" customWidth="1"/>
    <col min="43" max="43" width="9" style="22" customWidth="1"/>
    <col min="44" max="16384" width="9.140625" style="22"/>
  </cols>
  <sheetData>
    <row r="1" spans="1:43" ht="15" customHeight="1">
      <c r="A1" s="272" t="s">
        <v>151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</row>
    <row r="2" spans="1:43">
      <c r="A2" s="273"/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  <c r="AO2" s="273"/>
      <c r="AP2" s="273"/>
      <c r="AQ2" s="273"/>
    </row>
    <row r="3" spans="1:43" ht="22.5" customHeight="1">
      <c r="A3" s="278" t="s">
        <v>98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  <c r="AC3" s="278"/>
      <c r="AD3" s="278"/>
      <c r="AE3" s="278"/>
      <c r="AF3" s="278"/>
      <c r="AG3" s="278"/>
      <c r="AH3" s="278"/>
      <c r="AI3" s="278"/>
      <c r="AJ3" s="278"/>
      <c r="AK3" s="278"/>
      <c r="AL3" s="278"/>
      <c r="AM3" s="278"/>
      <c r="AN3" s="278"/>
      <c r="AO3" s="278"/>
      <c r="AP3" s="278"/>
      <c r="AQ3" s="278"/>
    </row>
    <row r="4" spans="1:43" ht="10.5" customHeight="1"/>
    <row r="5" spans="1:43" ht="12" customHeight="1">
      <c r="A5" s="274" t="s">
        <v>42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274"/>
      <c r="AA5" s="274"/>
      <c r="AB5" s="274"/>
      <c r="AC5" s="274"/>
      <c r="AD5" s="274"/>
      <c r="AE5" s="274"/>
      <c r="AF5" s="274"/>
      <c r="AG5" s="274"/>
      <c r="AH5" s="274"/>
      <c r="AI5" s="274"/>
      <c r="AJ5" s="274"/>
      <c r="AK5" s="274"/>
      <c r="AL5" s="274"/>
      <c r="AM5" s="274"/>
      <c r="AN5" s="274"/>
      <c r="AO5" s="274"/>
      <c r="AP5" s="274"/>
      <c r="AQ5" s="274"/>
    </row>
    <row r="6" spans="1:43" ht="12" customHeight="1">
      <c r="A6" s="274" t="s">
        <v>174</v>
      </c>
      <c r="B6" s="274"/>
      <c r="C6" s="274"/>
      <c r="D6" s="274"/>
      <c r="E6" s="274"/>
      <c r="F6" s="274"/>
      <c r="G6" s="274"/>
      <c r="H6" s="274"/>
      <c r="I6" s="274"/>
      <c r="J6" s="274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74"/>
      <c r="AA6" s="274"/>
      <c r="AB6" s="274"/>
      <c r="AC6" s="274"/>
      <c r="AD6" s="274"/>
      <c r="AE6" s="274"/>
      <c r="AF6" s="274"/>
      <c r="AG6" s="274"/>
      <c r="AH6" s="274"/>
      <c r="AI6" s="274"/>
      <c r="AJ6" s="274"/>
      <c r="AK6" s="274"/>
      <c r="AL6" s="274"/>
      <c r="AM6" s="274"/>
      <c r="AN6" s="274"/>
      <c r="AO6" s="274"/>
      <c r="AP6" s="274"/>
      <c r="AQ6" s="274"/>
    </row>
    <row r="7" spans="1:43" ht="21">
      <c r="A7" s="279" t="s">
        <v>44</v>
      </c>
      <c r="B7" s="46" t="s">
        <v>88</v>
      </c>
      <c r="C7" s="47" t="s">
        <v>46</v>
      </c>
      <c r="D7" s="282" t="s">
        <v>66</v>
      </c>
      <c r="E7" s="286"/>
      <c r="F7" s="286"/>
      <c r="G7" s="286"/>
      <c r="H7" s="286"/>
      <c r="I7" s="283"/>
      <c r="J7" s="282" t="s">
        <v>69</v>
      </c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3"/>
      <c r="W7" s="48" t="s">
        <v>76</v>
      </c>
      <c r="X7" s="282" t="s">
        <v>78</v>
      </c>
      <c r="Y7" s="286"/>
      <c r="Z7" s="286"/>
      <c r="AA7" s="283"/>
      <c r="AB7" s="282" t="s">
        <v>79</v>
      </c>
      <c r="AC7" s="286"/>
      <c r="AD7" s="286"/>
      <c r="AE7" s="283"/>
      <c r="AF7" s="282" t="s">
        <v>80</v>
      </c>
      <c r="AG7" s="286"/>
      <c r="AH7" s="283"/>
      <c r="AI7" s="282" t="s">
        <v>168</v>
      </c>
      <c r="AJ7" s="283"/>
      <c r="AK7" s="282" t="s">
        <v>81</v>
      </c>
      <c r="AL7" s="286"/>
      <c r="AM7" s="283"/>
      <c r="AN7" s="282" t="s">
        <v>83</v>
      </c>
      <c r="AO7" s="286"/>
      <c r="AP7" s="283"/>
      <c r="AQ7" s="49" t="s">
        <v>92</v>
      </c>
    </row>
    <row r="8" spans="1:43" ht="31.5">
      <c r="A8" s="280"/>
      <c r="B8" s="50" t="s">
        <v>43</v>
      </c>
      <c r="C8" s="51"/>
      <c r="D8" s="52" t="s">
        <v>47</v>
      </c>
      <c r="E8" s="52" t="s">
        <v>20</v>
      </c>
      <c r="F8" s="52" t="s">
        <v>21</v>
      </c>
      <c r="G8" s="52" t="s">
        <v>22</v>
      </c>
      <c r="H8" s="52" t="s">
        <v>24</v>
      </c>
      <c r="I8" s="52" t="s">
        <v>25</v>
      </c>
      <c r="J8" s="52" t="s">
        <v>4</v>
      </c>
      <c r="K8" s="52" t="s">
        <v>5</v>
      </c>
      <c r="L8" s="52" t="s">
        <v>6</v>
      </c>
      <c r="M8" s="52" t="s">
        <v>7</v>
      </c>
      <c r="N8" s="52" t="s">
        <v>8</v>
      </c>
      <c r="O8" s="52" t="s">
        <v>9</v>
      </c>
      <c r="P8" s="52" t="s">
        <v>26</v>
      </c>
      <c r="Q8" s="52" t="s">
        <v>27</v>
      </c>
      <c r="R8" s="52" t="s">
        <v>28</v>
      </c>
      <c r="S8" s="52" t="s">
        <v>29</v>
      </c>
      <c r="T8" s="52" t="s">
        <v>11</v>
      </c>
      <c r="U8" s="52" t="s">
        <v>12</v>
      </c>
      <c r="V8" s="52" t="s">
        <v>30</v>
      </c>
      <c r="W8" s="52" t="s">
        <v>31</v>
      </c>
      <c r="X8" s="52" t="s">
        <v>32</v>
      </c>
      <c r="Y8" s="52" t="s">
        <v>33</v>
      </c>
      <c r="Z8" s="52" t="s">
        <v>34</v>
      </c>
      <c r="AA8" s="52" t="s">
        <v>35</v>
      </c>
      <c r="AB8" s="52" t="s">
        <v>48</v>
      </c>
      <c r="AC8" s="52" t="s">
        <v>49</v>
      </c>
      <c r="AD8" s="52" t="s">
        <v>50</v>
      </c>
      <c r="AE8" s="52" t="s">
        <v>51</v>
      </c>
      <c r="AF8" s="52" t="s">
        <v>36</v>
      </c>
      <c r="AG8" s="52" t="s">
        <v>37</v>
      </c>
      <c r="AH8" s="52" t="s">
        <v>18</v>
      </c>
      <c r="AI8" s="52" t="s">
        <v>52</v>
      </c>
      <c r="AJ8" s="52" t="s">
        <v>53</v>
      </c>
      <c r="AK8" s="52" t="s">
        <v>164</v>
      </c>
      <c r="AL8" s="52" t="s">
        <v>38</v>
      </c>
      <c r="AM8" s="52" t="s">
        <v>146</v>
      </c>
      <c r="AN8" s="52" t="s">
        <v>165</v>
      </c>
      <c r="AO8" s="52" t="s">
        <v>39</v>
      </c>
      <c r="AP8" s="52" t="s">
        <v>40</v>
      </c>
      <c r="AQ8" s="53" t="s">
        <v>41</v>
      </c>
    </row>
    <row r="9" spans="1:43" ht="21">
      <c r="A9" s="281"/>
      <c r="B9" s="50" t="s">
        <v>94</v>
      </c>
      <c r="C9" s="51" t="s">
        <v>45</v>
      </c>
      <c r="D9" s="52" t="s">
        <v>45</v>
      </c>
      <c r="E9" s="52" t="s">
        <v>45</v>
      </c>
      <c r="F9" s="52" t="s">
        <v>45</v>
      </c>
      <c r="G9" s="52" t="s">
        <v>45</v>
      </c>
      <c r="H9" s="52" t="s">
        <v>45</v>
      </c>
      <c r="I9" s="52" t="s">
        <v>45</v>
      </c>
      <c r="J9" s="52" t="s">
        <v>45</v>
      </c>
      <c r="K9" s="52" t="s">
        <v>45</v>
      </c>
      <c r="L9" s="52" t="s">
        <v>45</v>
      </c>
      <c r="M9" s="52" t="s">
        <v>45</v>
      </c>
      <c r="N9" s="52" t="s">
        <v>45</v>
      </c>
      <c r="O9" s="52" t="s">
        <v>45</v>
      </c>
      <c r="P9" s="52" t="s">
        <v>45</v>
      </c>
      <c r="Q9" s="52" t="s">
        <v>45</v>
      </c>
      <c r="R9" s="52" t="s">
        <v>45</v>
      </c>
      <c r="S9" s="52" t="s">
        <v>45</v>
      </c>
      <c r="T9" s="52" t="s">
        <v>45</v>
      </c>
      <c r="U9" s="52" t="s">
        <v>45</v>
      </c>
      <c r="V9" s="52" t="s">
        <v>45</v>
      </c>
      <c r="W9" s="52" t="s">
        <v>45</v>
      </c>
      <c r="X9" s="52" t="s">
        <v>45</v>
      </c>
      <c r="Y9" s="52" t="s">
        <v>45</v>
      </c>
      <c r="Z9" s="52" t="s">
        <v>45</v>
      </c>
      <c r="AA9" s="52" t="s">
        <v>45</v>
      </c>
      <c r="AB9" s="52" t="s">
        <v>45</v>
      </c>
      <c r="AC9" s="52" t="s">
        <v>45</v>
      </c>
      <c r="AD9" s="52" t="s">
        <v>45</v>
      </c>
      <c r="AE9" s="52" t="s">
        <v>45</v>
      </c>
      <c r="AF9" s="52" t="s">
        <v>45</v>
      </c>
      <c r="AG9" s="52" t="s">
        <v>45</v>
      </c>
      <c r="AH9" s="52" t="s">
        <v>45</v>
      </c>
      <c r="AI9" s="52" t="s">
        <v>45</v>
      </c>
      <c r="AJ9" s="52" t="s">
        <v>45</v>
      </c>
      <c r="AK9" s="52" t="s">
        <v>45</v>
      </c>
      <c r="AL9" s="52" t="s">
        <v>45</v>
      </c>
      <c r="AM9" s="52" t="s">
        <v>45</v>
      </c>
      <c r="AN9" s="52" t="s">
        <v>45</v>
      </c>
      <c r="AO9" s="52" t="s">
        <v>45</v>
      </c>
      <c r="AP9" s="52" t="s">
        <v>45</v>
      </c>
      <c r="AQ9" s="53" t="s">
        <v>45</v>
      </c>
    </row>
    <row r="10" spans="1:43">
      <c r="A10" s="68" t="s">
        <v>46</v>
      </c>
      <c r="B10" s="68"/>
      <c r="C10" s="69">
        <f>SUM(C11:C49)</f>
        <v>835702</v>
      </c>
      <c r="D10" s="69">
        <f t="shared" ref="D10:AQ10" si="0">SUM(D11:D49)</f>
        <v>772</v>
      </c>
      <c r="E10" s="69">
        <f t="shared" si="0"/>
        <v>28</v>
      </c>
      <c r="F10" s="69">
        <f t="shared" si="0"/>
        <v>55</v>
      </c>
      <c r="G10" s="69">
        <f t="shared" si="0"/>
        <v>4520</v>
      </c>
      <c r="H10" s="69">
        <f t="shared" si="0"/>
        <v>796</v>
      </c>
      <c r="I10" s="69">
        <f t="shared" si="0"/>
        <v>2958</v>
      </c>
      <c r="J10" s="69">
        <f t="shared" si="0"/>
        <v>34186</v>
      </c>
      <c r="K10" s="69">
        <f t="shared" si="0"/>
        <v>165746</v>
      </c>
      <c r="L10" s="69">
        <f t="shared" si="0"/>
        <v>14541</v>
      </c>
      <c r="M10" s="69">
        <f t="shared" si="0"/>
        <v>67994</v>
      </c>
      <c r="N10" s="69">
        <f>SUM(N11:N49)</f>
        <v>91116</v>
      </c>
      <c r="O10" s="69">
        <f t="shared" si="0"/>
        <v>52450</v>
      </c>
      <c r="P10" s="69">
        <f t="shared" si="0"/>
        <v>286</v>
      </c>
      <c r="Q10" s="69">
        <f t="shared" si="0"/>
        <v>29</v>
      </c>
      <c r="R10" s="69">
        <f t="shared" si="0"/>
        <v>348</v>
      </c>
      <c r="S10" s="69">
        <f t="shared" si="0"/>
        <v>567</v>
      </c>
      <c r="T10" s="69">
        <f t="shared" si="0"/>
        <v>8609</v>
      </c>
      <c r="U10" s="69">
        <f t="shared" si="0"/>
        <v>5963</v>
      </c>
      <c r="V10" s="69">
        <f t="shared" si="0"/>
        <v>16</v>
      </c>
      <c r="W10" s="69">
        <f t="shared" si="0"/>
        <v>367</v>
      </c>
      <c r="X10" s="69">
        <f t="shared" si="0"/>
        <v>177</v>
      </c>
      <c r="Y10" s="69">
        <f t="shared" si="0"/>
        <v>1845</v>
      </c>
      <c r="Z10" s="69">
        <f t="shared" si="0"/>
        <v>215</v>
      </c>
      <c r="AA10" s="69">
        <f t="shared" si="0"/>
        <v>582</v>
      </c>
      <c r="AB10" s="69">
        <f t="shared" si="0"/>
        <v>1676</v>
      </c>
      <c r="AC10" s="69">
        <f t="shared" si="0"/>
        <v>7237</v>
      </c>
      <c r="AD10" s="69">
        <f t="shared" si="0"/>
        <v>293</v>
      </c>
      <c r="AE10" s="69">
        <f t="shared" si="0"/>
        <v>272</v>
      </c>
      <c r="AF10" s="69">
        <f t="shared" si="0"/>
        <v>24230</v>
      </c>
      <c r="AG10" s="69">
        <f t="shared" si="0"/>
        <v>159540</v>
      </c>
      <c r="AH10" s="69">
        <f t="shared" si="0"/>
        <v>810</v>
      </c>
      <c r="AI10" s="69">
        <f t="shared" si="0"/>
        <v>45957</v>
      </c>
      <c r="AJ10" s="69">
        <f t="shared" si="0"/>
        <v>202</v>
      </c>
      <c r="AK10" s="69">
        <f t="shared" si="0"/>
        <v>156</v>
      </c>
      <c r="AL10" s="69">
        <f t="shared" si="0"/>
        <v>2815</v>
      </c>
      <c r="AM10" s="69">
        <f t="shared" si="0"/>
        <v>1719</v>
      </c>
      <c r="AN10" s="69">
        <f t="shared" si="0"/>
        <v>26</v>
      </c>
      <c r="AO10" s="69">
        <f t="shared" si="0"/>
        <v>1333</v>
      </c>
      <c r="AP10" s="69">
        <f t="shared" si="0"/>
        <v>2628</v>
      </c>
      <c r="AQ10" s="69">
        <f t="shared" si="0"/>
        <v>132642</v>
      </c>
    </row>
    <row r="11" spans="1:43">
      <c r="A11" s="285" t="s">
        <v>152</v>
      </c>
      <c r="B11" s="71" t="s">
        <v>149</v>
      </c>
      <c r="C11" s="69">
        <f t="shared" ref="C11:C48" si="1">SUM(D11:AQ11)</f>
        <v>1</v>
      </c>
      <c r="D11" s="69"/>
      <c r="E11" s="193"/>
      <c r="F11" s="69"/>
      <c r="G11" s="193"/>
      <c r="H11" s="69"/>
      <c r="I11" s="69"/>
      <c r="J11" s="69"/>
      <c r="K11" s="69"/>
      <c r="L11" s="69"/>
      <c r="M11" s="69"/>
      <c r="N11" s="225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225">
        <v>1</v>
      </c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70"/>
    </row>
    <row r="12" spans="1:43">
      <c r="A12" s="284"/>
      <c r="B12" s="71" t="s">
        <v>122</v>
      </c>
      <c r="C12" s="69">
        <f t="shared" si="1"/>
        <v>319</v>
      </c>
      <c r="D12" s="69"/>
      <c r="E12" s="193"/>
      <c r="F12" s="69"/>
      <c r="G12" s="193"/>
      <c r="H12" s="69"/>
      <c r="I12" s="69"/>
      <c r="J12" s="69"/>
      <c r="K12" s="69"/>
      <c r="L12" s="69"/>
      <c r="M12" s="225">
        <v>39</v>
      </c>
      <c r="N12" s="225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225">
        <v>155</v>
      </c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226">
        <v>125</v>
      </c>
    </row>
    <row r="13" spans="1:43">
      <c r="A13" s="284"/>
      <c r="B13" s="71" t="s">
        <v>123</v>
      </c>
      <c r="C13" s="69">
        <f t="shared" si="1"/>
        <v>6551</v>
      </c>
      <c r="D13" s="69"/>
      <c r="E13" s="194"/>
      <c r="F13" s="72"/>
      <c r="G13" s="194"/>
      <c r="I13" s="72"/>
      <c r="J13" s="72"/>
      <c r="K13" s="72"/>
      <c r="L13" s="72"/>
      <c r="M13" s="73">
        <v>196</v>
      </c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3">
        <v>615</v>
      </c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4">
        <v>5740</v>
      </c>
    </row>
    <row r="14" spans="1:43">
      <c r="A14" s="284"/>
      <c r="B14" s="71" t="s">
        <v>124</v>
      </c>
      <c r="C14" s="69">
        <f t="shared" si="1"/>
        <v>16325</v>
      </c>
      <c r="D14" s="69"/>
      <c r="E14" s="194"/>
      <c r="F14" s="72"/>
      <c r="G14" s="194"/>
      <c r="H14" s="72"/>
      <c r="I14" s="72"/>
      <c r="J14" s="72"/>
      <c r="K14" s="73">
        <v>3</v>
      </c>
      <c r="L14" s="72"/>
      <c r="M14" s="73">
        <v>591</v>
      </c>
      <c r="N14" s="72"/>
      <c r="O14" s="73">
        <v>2</v>
      </c>
      <c r="P14" s="72"/>
      <c r="Q14" s="72"/>
      <c r="R14" s="72"/>
      <c r="S14" s="72"/>
      <c r="T14" s="72"/>
      <c r="U14" s="72"/>
      <c r="V14" s="72"/>
      <c r="W14" s="72"/>
      <c r="X14" s="72"/>
      <c r="Y14" s="73">
        <v>11</v>
      </c>
      <c r="Z14" s="72"/>
      <c r="AA14" s="72"/>
      <c r="AB14" s="72"/>
      <c r="AC14" s="73">
        <v>1133</v>
      </c>
      <c r="AD14" s="72"/>
      <c r="AE14" s="72">
        <v>2</v>
      </c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4">
        <v>14583</v>
      </c>
    </row>
    <row r="15" spans="1:43">
      <c r="A15" s="284"/>
      <c r="B15" s="71" t="s">
        <v>125</v>
      </c>
      <c r="C15" s="69">
        <f t="shared" si="1"/>
        <v>15494</v>
      </c>
      <c r="D15" s="69"/>
      <c r="E15" s="194"/>
      <c r="F15" s="72"/>
      <c r="G15" s="194"/>
      <c r="H15" s="72"/>
      <c r="I15" s="72"/>
      <c r="J15" s="72"/>
      <c r="K15" s="73">
        <v>36</v>
      </c>
      <c r="L15" s="72"/>
      <c r="M15" s="73">
        <v>2192</v>
      </c>
      <c r="N15" s="73">
        <v>2</v>
      </c>
      <c r="O15" s="73">
        <v>3</v>
      </c>
      <c r="P15" s="73"/>
      <c r="Q15" s="72"/>
      <c r="R15" s="72"/>
      <c r="S15" s="72"/>
      <c r="T15" s="72"/>
      <c r="U15" s="72"/>
      <c r="V15" s="72"/>
      <c r="W15" s="72"/>
      <c r="X15" s="72"/>
      <c r="Y15" s="73">
        <v>453</v>
      </c>
      <c r="Z15" s="72"/>
      <c r="AA15" s="72"/>
      <c r="AB15" s="72"/>
      <c r="AC15" s="73">
        <v>775</v>
      </c>
      <c r="AD15" s="72"/>
      <c r="AE15" s="73">
        <v>1</v>
      </c>
      <c r="AF15" s="72"/>
      <c r="AG15" s="72"/>
      <c r="AH15" s="72"/>
      <c r="AI15" s="72"/>
      <c r="AJ15" s="73">
        <v>2</v>
      </c>
      <c r="AK15" s="72"/>
      <c r="AL15" s="72"/>
      <c r="AM15" s="72"/>
      <c r="AN15" s="72"/>
      <c r="AO15" s="72"/>
      <c r="AP15" s="72">
        <v>1</v>
      </c>
      <c r="AQ15" s="74">
        <v>12029</v>
      </c>
    </row>
    <row r="16" spans="1:43">
      <c r="A16" s="284"/>
      <c r="B16" s="71" t="s">
        <v>126</v>
      </c>
      <c r="C16" s="69">
        <f t="shared" si="1"/>
        <v>15377</v>
      </c>
      <c r="D16" s="69"/>
      <c r="E16" s="194"/>
      <c r="F16" s="72"/>
      <c r="G16" s="194"/>
      <c r="H16" s="72"/>
      <c r="I16" s="72"/>
      <c r="J16" s="72"/>
      <c r="K16" s="73">
        <v>7</v>
      </c>
      <c r="L16" s="72"/>
      <c r="M16" s="73">
        <v>5800</v>
      </c>
      <c r="N16" s="73">
        <v>12</v>
      </c>
      <c r="O16" s="73">
        <v>4</v>
      </c>
      <c r="P16" s="73"/>
      <c r="Q16" s="72"/>
      <c r="R16" s="72"/>
      <c r="S16" s="72"/>
      <c r="T16" s="72"/>
      <c r="U16" s="73">
        <v>6</v>
      </c>
      <c r="V16" s="72"/>
      <c r="W16" s="72"/>
      <c r="X16" s="72"/>
      <c r="Y16" s="73">
        <v>308</v>
      </c>
      <c r="Z16" s="72"/>
      <c r="AA16" s="73">
        <v>3</v>
      </c>
      <c r="AB16" s="72"/>
      <c r="AC16" s="73">
        <v>604</v>
      </c>
      <c r="AD16" s="72"/>
      <c r="AE16" s="72">
        <v>7</v>
      </c>
      <c r="AF16" s="72"/>
      <c r="AG16" s="72"/>
      <c r="AH16" s="72"/>
      <c r="AI16" s="72"/>
      <c r="AJ16" s="73">
        <v>18</v>
      </c>
      <c r="AK16" s="72"/>
      <c r="AL16" s="73"/>
      <c r="AM16" s="72"/>
      <c r="AN16" s="72"/>
      <c r="AO16" s="73">
        <v>3</v>
      </c>
      <c r="AP16" s="73">
        <v>59</v>
      </c>
      <c r="AQ16" s="74">
        <v>8546</v>
      </c>
    </row>
    <row r="17" spans="1:43">
      <c r="A17" s="284"/>
      <c r="B17" s="71" t="s">
        <v>127</v>
      </c>
      <c r="C17" s="69">
        <f t="shared" si="1"/>
        <v>16632</v>
      </c>
      <c r="D17" s="69"/>
      <c r="E17" s="194"/>
      <c r="F17" s="72"/>
      <c r="G17" s="194"/>
      <c r="H17" s="72"/>
      <c r="I17" s="72"/>
      <c r="J17" s="72"/>
      <c r="K17" s="73">
        <v>12</v>
      </c>
      <c r="L17" s="72"/>
      <c r="M17" s="73">
        <v>5515</v>
      </c>
      <c r="N17" s="73">
        <v>10</v>
      </c>
      <c r="O17" s="73">
        <v>6</v>
      </c>
      <c r="P17" s="73"/>
      <c r="Q17" s="72"/>
      <c r="R17" s="72"/>
      <c r="S17" s="72"/>
      <c r="T17" s="72"/>
      <c r="U17" s="73">
        <v>33</v>
      </c>
      <c r="V17" s="72"/>
      <c r="W17" s="72"/>
      <c r="X17" s="72"/>
      <c r="Y17" s="73">
        <v>228</v>
      </c>
      <c r="Z17" s="72"/>
      <c r="AA17" s="73">
        <v>6</v>
      </c>
      <c r="AB17" s="72"/>
      <c r="AC17" s="73">
        <v>589</v>
      </c>
      <c r="AD17" s="72"/>
      <c r="AE17" s="73">
        <v>3</v>
      </c>
      <c r="AF17" s="72"/>
      <c r="AG17" s="72"/>
      <c r="AH17" s="72"/>
      <c r="AI17" s="72"/>
      <c r="AJ17" s="73">
        <v>88</v>
      </c>
      <c r="AK17" s="72"/>
      <c r="AL17" s="73">
        <v>4</v>
      </c>
      <c r="AM17" s="72"/>
      <c r="AN17" s="72"/>
      <c r="AO17" s="73">
        <v>27</v>
      </c>
      <c r="AP17" s="73">
        <v>235</v>
      </c>
      <c r="AQ17" s="74">
        <v>9876</v>
      </c>
    </row>
    <row r="18" spans="1:43">
      <c r="A18" s="284"/>
      <c r="B18" s="71" t="s">
        <v>128</v>
      </c>
      <c r="C18" s="69">
        <f t="shared" si="1"/>
        <v>19607</v>
      </c>
      <c r="D18" s="69"/>
      <c r="E18" s="194"/>
      <c r="F18" s="72"/>
      <c r="G18" s="194"/>
      <c r="H18" s="72"/>
      <c r="I18" s="72"/>
      <c r="J18" s="72"/>
      <c r="K18" s="73">
        <v>26</v>
      </c>
      <c r="L18" s="72"/>
      <c r="M18" s="73">
        <v>4601</v>
      </c>
      <c r="N18" s="73">
        <v>52</v>
      </c>
      <c r="O18" s="73">
        <v>1330</v>
      </c>
      <c r="P18" s="73"/>
      <c r="Q18" s="72"/>
      <c r="R18" s="72"/>
      <c r="S18" s="72"/>
      <c r="T18" s="72"/>
      <c r="U18" s="73">
        <v>119</v>
      </c>
      <c r="V18" s="72"/>
      <c r="W18" s="72"/>
      <c r="X18" s="72"/>
      <c r="Y18" s="73">
        <v>172</v>
      </c>
      <c r="Z18" s="72"/>
      <c r="AA18" s="73">
        <v>34</v>
      </c>
      <c r="AB18" s="72"/>
      <c r="AC18" s="73">
        <v>492</v>
      </c>
      <c r="AD18" s="72"/>
      <c r="AE18" s="73">
        <v>7</v>
      </c>
      <c r="AF18" s="72"/>
      <c r="AG18" s="72"/>
      <c r="AH18" s="72"/>
      <c r="AI18" s="72"/>
      <c r="AJ18" s="73">
        <v>76</v>
      </c>
      <c r="AK18" s="72"/>
      <c r="AL18" s="73">
        <v>8</v>
      </c>
      <c r="AM18" s="72"/>
      <c r="AN18" s="72"/>
      <c r="AO18" s="73">
        <v>78</v>
      </c>
      <c r="AP18" s="73">
        <v>325</v>
      </c>
      <c r="AQ18" s="74">
        <v>12287</v>
      </c>
    </row>
    <row r="19" spans="1:43">
      <c r="A19" s="284"/>
      <c r="B19" s="71" t="s">
        <v>129</v>
      </c>
      <c r="C19" s="69">
        <f t="shared" si="1"/>
        <v>26747</v>
      </c>
      <c r="D19" s="69"/>
      <c r="E19" s="194"/>
      <c r="F19" s="72"/>
      <c r="G19" s="194"/>
      <c r="H19" s="72"/>
      <c r="I19" s="72"/>
      <c r="J19" s="72"/>
      <c r="K19" s="73">
        <v>11</v>
      </c>
      <c r="L19" s="72"/>
      <c r="M19" s="73">
        <v>4706</v>
      </c>
      <c r="N19" s="73">
        <v>25</v>
      </c>
      <c r="O19" s="73">
        <v>6275</v>
      </c>
      <c r="P19" s="73"/>
      <c r="Q19" s="72"/>
      <c r="R19" s="72"/>
      <c r="S19" s="72"/>
      <c r="T19" s="72"/>
      <c r="U19" s="73">
        <v>289</v>
      </c>
      <c r="V19" s="72"/>
      <c r="W19" s="72"/>
      <c r="X19" s="72"/>
      <c r="Y19" s="73">
        <v>130</v>
      </c>
      <c r="Z19" s="72"/>
      <c r="AA19" s="73">
        <v>52</v>
      </c>
      <c r="AB19" s="72"/>
      <c r="AC19" s="73">
        <v>472</v>
      </c>
      <c r="AD19" s="72"/>
      <c r="AE19" s="73">
        <v>17</v>
      </c>
      <c r="AF19" s="72"/>
      <c r="AG19" s="72"/>
      <c r="AH19" s="72"/>
      <c r="AI19" s="72"/>
      <c r="AJ19" s="73">
        <v>18</v>
      </c>
      <c r="AK19" s="72"/>
      <c r="AL19" s="73">
        <v>20</v>
      </c>
      <c r="AM19" s="73"/>
      <c r="AN19" s="72"/>
      <c r="AO19" s="73">
        <v>144</v>
      </c>
      <c r="AP19" s="73">
        <v>249</v>
      </c>
      <c r="AQ19" s="74">
        <v>14339</v>
      </c>
    </row>
    <row r="20" spans="1:43">
      <c r="A20" s="284"/>
      <c r="B20" s="71" t="s">
        <v>130</v>
      </c>
      <c r="C20" s="69">
        <f t="shared" si="1"/>
        <v>29709</v>
      </c>
      <c r="D20" s="69"/>
      <c r="E20" s="194"/>
      <c r="F20" s="72"/>
      <c r="G20" s="194"/>
      <c r="H20" s="72"/>
      <c r="I20" s="72"/>
      <c r="J20" s="72"/>
      <c r="K20" s="73">
        <v>5</v>
      </c>
      <c r="L20" s="72"/>
      <c r="M20" s="73">
        <v>4681</v>
      </c>
      <c r="N20" s="73">
        <v>43</v>
      </c>
      <c r="O20" s="73">
        <v>8230</v>
      </c>
      <c r="P20" s="73"/>
      <c r="Q20" s="72"/>
      <c r="R20" s="73"/>
      <c r="S20" s="72"/>
      <c r="T20" s="72"/>
      <c r="U20" s="73">
        <v>342</v>
      </c>
      <c r="V20" s="72"/>
      <c r="W20" s="72"/>
      <c r="X20" s="72"/>
      <c r="Y20" s="73">
        <v>124</v>
      </c>
      <c r="Z20" s="72"/>
      <c r="AA20" s="73">
        <v>75</v>
      </c>
      <c r="AB20" s="72"/>
      <c r="AC20" s="73">
        <v>463</v>
      </c>
      <c r="AD20" s="72"/>
      <c r="AE20" s="73">
        <v>72</v>
      </c>
      <c r="AF20" s="72"/>
      <c r="AG20" s="72"/>
      <c r="AH20" s="72"/>
      <c r="AI20" s="72"/>
      <c r="AJ20" s="72"/>
      <c r="AK20" s="72"/>
      <c r="AL20" s="73">
        <v>432</v>
      </c>
      <c r="AM20" s="73">
        <v>264</v>
      </c>
      <c r="AN20" s="72"/>
      <c r="AO20" s="73">
        <v>181</v>
      </c>
      <c r="AP20" s="73">
        <v>184</v>
      </c>
      <c r="AQ20" s="74">
        <v>14613</v>
      </c>
    </row>
    <row r="21" spans="1:43">
      <c r="A21" s="284"/>
      <c r="B21" s="71" t="s">
        <v>131</v>
      </c>
      <c r="C21" s="69">
        <f t="shared" si="1"/>
        <v>31705</v>
      </c>
      <c r="D21" s="69"/>
      <c r="E21" s="194"/>
      <c r="F21" s="72"/>
      <c r="G21" s="194"/>
      <c r="H21" s="72"/>
      <c r="I21" s="72"/>
      <c r="J21" s="72"/>
      <c r="K21" s="73">
        <v>39</v>
      </c>
      <c r="L21" s="72"/>
      <c r="M21" s="73">
        <v>5192</v>
      </c>
      <c r="N21" s="73">
        <v>100</v>
      </c>
      <c r="O21" s="73">
        <v>9509</v>
      </c>
      <c r="P21" s="73"/>
      <c r="Q21" s="72"/>
      <c r="R21" s="73">
        <v>1</v>
      </c>
      <c r="S21" s="72"/>
      <c r="T21" s="72"/>
      <c r="U21" s="73">
        <v>540</v>
      </c>
      <c r="V21" s="72"/>
      <c r="W21" s="72"/>
      <c r="X21" s="72"/>
      <c r="Y21" s="73">
        <v>119</v>
      </c>
      <c r="Z21" s="72"/>
      <c r="AA21" s="73">
        <v>121</v>
      </c>
      <c r="AB21" s="72"/>
      <c r="AC21" s="73">
        <v>483</v>
      </c>
      <c r="AD21" s="72"/>
      <c r="AE21" s="73">
        <v>92</v>
      </c>
      <c r="AF21" s="72"/>
      <c r="AG21" s="73"/>
      <c r="AH21" s="72"/>
      <c r="AI21" s="72">
        <v>2</v>
      </c>
      <c r="AJ21" s="72"/>
      <c r="AK21" s="72"/>
      <c r="AL21" s="73">
        <v>834</v>
      </c>
      <c r="AM21" s="73">
        <v>761</v>
      </c>
      <c r="AN21" s="72"/>
      <c r="AO21" s="73">
        <v>175</v>
      </c>
      <c r="AP21" s="73">
        <v>183</v>
      </c>
      <c r="AQ21" s="74">
        <v>13554</v>
      </c>
    </row>
    <row r="22" spans="1:43">
      <c r="A22" s="284"/>
      <c r="B22" s="71" t="s">
        <v>132</v>
      </c>
      <c r="C22" s="69">
        <f t="shared" si="1"/>
        <v>31886</v>
      </c>
      <c r="D22" s="69"/>
      <c r="E22" s="194"/>
      <c r="F22" s="72"/>
      <c r="G22" s="194"/>
      <c r="H22" s="72"/>
      <c r="I22" s="72"/>
      <c r="J22" s="72"/>
      <c r="K22" s="73">
        <v>699</v>
      </c>
      <c r="L22" s="72"/>
      <c r="M22" s="73">
        <v>4458</v>
      </c>
      <c r="N22" s="73">
        <v>134</v>
      </c>
      <c r="O22" s="73">
        <v>9603</v>
      </c>
      <c r="P22" s="73"/>
      <c r="Q22" s="72"/>
      <c r="R22" s="73"/>
      <c r="S22" s="72"/>
      <c r="T22" s="72"/>
      <c r="U22" s="73">
        <v>573</v>
      </c>
      <c r="V22" s="72"/>
      <c r="W22" s="72"/>
      <c r="X22" s="72"/>
      <c r="Y22" s="73">
        <v>90</v>
      </c>
      <c r="Z22" s="72"/>
      <c r="AA22" s="73">
        <v>93</v>
      </c>
      <c r="AB22" s="72"/>
      <c r="AC22" s="73">
        <v>343</v>
      </c>
      <c r="AD22" s="72"/>
      <c r="AE22" s="73">
        <v>33</v>
      </c>
      <c r="AF22" s="72"/>
      <c r="AG22" s="73">
        <v>2100</v>
      </c>
      <c r="AH22" s="72"/>
      <c r="AI22" s="73">
        <v>621</v>
      </c>
      <c r="AJ22" s="73"/>
      <c r="AK22" s="72"/>
      <c r="AL22" s="73">
        <v>433</v>
      </c>
      <c r="AM22" s="73">
        <v>270</v>
      </c>
      <c r="AN22" s="72"/>
      <c r="AO22" s="73">
        <v>241</v>
      </c>
      <c r="AP22" s="73">
        <v>169</v>
      </c>
      <c r="AQ22" s="74">
        <v>12026</v>
      </c>
    </row>
    <row r="23" spans="1:43">
      <c r="A23" s="284"/>
      <c r="B23" s="71" t="s">
        <v>133</v>
      </c>
      <c r="C23" s="69">
        <f t="shared" si="1"/>
        <v>165342</v>
      </c>
      <c r="D23" s="69"/>
      <c r="E23" s="194"/>
      <c r="F23" s="72"/>
      <c r="G23" s="194"/>
      <c r="H23" s="72"/>
      <c r="I23" s="72"/>
      <c r="J23" s="72"/>
      <c r="K23" s="73">
        <v>29056</v>
      </c>
      <c r="L23" s="72"/>
      <c r="M23" s="73">
        <v>5337</v>
      </c>
      <c r="N23" s="73">
        <v>2652</v>
      </c>
      <c r="O23" s="73">
        <v>5376</v>
      </c>
      <c r="P23" s="73"/>
      <c r="Q23" s="73"/>
      <c r="R23" s="73">
        <v>8</v>
      </c>
      <c r="S23" s="73">
        <v>1</v>
      </c>
      <c r="T23" s="72"/>
      <c r="U23" s="73">
        <v>585</v>
      </c>
      <c r="V23" s="72"/>
      <c r="W23" s="72"/>
      <c r="X23" s="72"/>
      <c r="Y23" s="73">
        <v>55</v>
      </c>
      <c r="Z23" s="72"/>
      <c r="AA23" s="73">
        <v>57</v>
      </c>
      <c r="AB23" s="72"/>
      <c r="AC23" s="73">
        <v>234</v>
      </c>
      <c r="AD23" s="72"/>
      <c r="AE23" s="73">
        <v>8</v>
      </c>
      <c r="AF23" s="73"/>
      <c r="AG23" s="73">
        <v>89142</v>
      </c>
      <c r="AH23" s="73"/>
      <c r="AI23" s="73">
        <v>25480</v>
      </c>
      <c r="AJ23" s="73"/>
      <c r="AK23" s="72"/>
      <c r="AL23" s="73">
        <v>194</v>
      </c>
      <c r="AM23" s="73">
        <v>99</v>
      </c>
      <c r="AN23" s="72"/>
      <c r="AO23" s="73">
        <v>219</v>
      </c>
      <c r="AP23" s="73">
        <v>131</v>
      </c>
      <c r="AQ23" s="74">
        <v>6708</v>
      </c>
    </row>
    <row r="24" spans="1:43">
      <c r="A24" s="284"/>
      <c r="B24" s="71" t="s">
        <v>134</v>
      </c>
      <c r="C24" s="69">
        <f t="shared" si="1"/>
        <v>113143</v>
      </c>
      <c r="D24" s="69"/>
      <c r="E24" s="194"/>
      <c r="F24" s="72"/>
      <c r="G24" s="194"/>
      <c r="H24" s="72"/>
      <c r="I24" s="72"/>
      <c r="J24" s="72"/>
      <c r="K24" s="73">
        <v>20669</v>
      </c>
      <c r="L24" s="72"/>
      <c r="M24" s="73">
        <v>3298</v>
      </c>
      <c r="N24" s="73">
        <v>3222</v>
      </c>
      <c r="O24" s="73">
        <v>2710</v>
      </c>
      <c r="P24" s="73"/>
      <c r="Q24" s="73"/>
      <c r="R24" s="73">
        <v>67</v>
      </c>
      <c r="S24" s="73">
        <v>117</v>
      </c>
      <c r="T24" s="72"/>
      <c r="U24" s="73">
        <v>331</v>
      </c>
      <c r="V24" s="72"/>
      <c r="W24" s="72"/>
      <c r="X24" s="72"/>
      <c r="Y24" s="73">
        <v>23</v>
      </c>
      <c r="Z24" s="72"/>
      <c r="AA24" s="73">
        <v>31</v>
      </c>
      <c r="AB24" s="72"/>
      <c r="AC24" s="73">
        <v>141</v>
      </c>
      <c r="AD24" s="72"/>
      <c r="AE24" s="73">
        <v>5</v>
      </c>
      <c r="AF24" s="73">
        <v>8</v>
      </c>
      <c r="AG24" s="73">
        <v>60194</v>
      </c>
      <c r="AH24" s="73">
        <v>1</v>
      </c>
      <c r="AI24" s="73">
        <v>17579</v>
      </c>
      <c r="AJ24" s="73"/>
      <c r="AK24" s="72"/>
      <c r="AL24" s="73">
        <v>95</v>
      </c>
      <c r="AM24" s="73">
        <v>34</v>
      </c>
      <c r="AN24" s="72"/>
      <c r="AO24" s="73">
        <v>52</v>
      </c>
      <c r="AP24" s="73">
        <v>59</v>
      </c>
      <c r="AQ24" s="74">
        <v>4507</v>
      </c>
    </row>
    <row r="25" spans="1:43">
      <c r="A25" s="284"/>
      <c r="B25" s="71" t="s">
        <v>135</v>
      </c>
      <c r="C25" s="69">
        <f t="shared" si="1"/>
        <v>18759</v>
      </c>
      <c r="D25" s="69"/>
      <c r="E25" s="194"/>
      <c r="F25" s="72"/>
      <c r="G25" s="194"/>
      <c r="H25" s="72"/>
      <c r="I25" s="72"/>
      <c r="J25" s="72"/>
      <c r="K25" s="73">
        <v>2354</v>
      </c>
      <c r="L25" s="72"/>
      <c r="M25" s="73">
        <v>1074</v>
      </c>
      <c r="N25" s="73">
        <v>896</v>
      </c>
      <c r="O25" s="73">
        <v>1313</v>
      </c>
      <c r="P25" s="73"/>
      <c r="Q25" s="73"/>
      <c r="R25" s="73">
        <v>35</v>
      </c>
      <c r="S25" s="73">
        <v>135</v>
      </c>
      <c r="T25" s="72"/>
      <c r="U25" s="73">
        <v>174</v>
      </c>
      <c r="V25" s="72"/>
      <c r="W25" s="73">
        <v>3</v>
      </c>
      <c r="X25" s="72"/>
      <c r="Y25" s="73">
        <v>6</v>
      </c>
      <c r="Z25" s="72"/>
      <c r="AA25" s="73">
        <v>3</v>
      </c>
      <c r="AB25" s="72"/>
      <c r="AC25" s="73">
        <v>60</v>
      </c>
      <c r="AD25" s="72"/>
      <c r="AE25" s="73"/>
      <c r="AF25" s="73">
        <v>1371</v>
      </c>
      <c r="AG25" s="73">
        <v>6845</v>
      </c>
      <c r="AH25" s="73">
        <v>10</v>
      </c>
      <c r="AI25" s="73">
        <v>1808</v>
      </c>
      <c r="AJ25" s="73"/>
      <c r="AK25" s="72"/>
      <c r="AL25" s="73">
        <v>52</v>
      </c>
      <c r="AM25" s="73">
        <v>19</v>
      </c>
      <c r="AN25" s="72"/>
      <c r="AO25" s="73">
        <v>9</v>
      </c>
      <c r="AP25" s="73">
        <v>24</v>
      </c>
      <c r="AQ25" s="74">
        <v>2568</v>
      </c>
    </row>
    <row r="26" spans="1:43">
      <c r="A26" s="284"/>
      <c r="B26" s="71" t="s">
        <v>136</v>
      </c>
      <c r="C26" s="69">
        <f t="shared" si="1"/>
        <v>22388</v>
      </c>
      <c r="D26" s="69"/>
      <c r="E26" s="194"/>
      <c r="F26" s="72"/>
      <c r="G26" s="194"/>
      <c r="H26" s="72"/>
      <c r="I26" s="72"/>
      <c r="J26" s="72"/>
      <c r="K26" s="73">
        <v>1786</v>
      </c>
      <c r="L26" s="72"/>
      <c r="M26" s="73">
        <v>467</v>
      </c>
      <c r="N26" s="73">
        <v>1781</v>
      </c>
      <c r="O26" s="73">
        <v>550</v>
      </c>
      <c r="P26" s="73">
        <v>1</v>
      </c>
      <c r="Q26" s="73"/>
      <c r="R26" s="73">
        <v>5</v>
      </c>
      <c r="S26" s="73">
        <v>10</v>
      </c>
      <c r="T26" s="72"/>
      <c r="U26" s="73">
        <v>66</v>
      </c>
      <c r="V26" s="72"/>
      <c r="W26" s="73">
        <v>8</v>
      </c>
      <c r="X26" s="72"/>
      <c r="Y26" s="73">
        <v>1</v>
      </c>
      <c r="Z26" s="72"/>
      <c r="AA26" s="73">
        <v>1</v>
      </c>
      <c r="AB26" s="72"/>
      <c r="AC26" s="73">
        <v>20</v>
      </c>
      <c r="AD26" s="72"/>
      <c r="AE26" s="73"/>
      <c r="AF26" s="73">
        <v>14359</v>
      </c>
      <c r="AG26" s="73">
        <v>1233</v>
      </c>
      <c r="AH26" s="73">
        <v>584</v>
      </c>
      <c r="AI26" s="73">
        <v>425</v>
      </c>
      <c r="AJ26" s="73"/>
      <c r="AK26" s="73"/>
      <c r="AL26" s="73">
        <v>17</v>
      </c>
      <c r="AM26" s="73">
        <v>5</v>
      </c>
      <c r="AN26" s="72"/>
      <c r="AO26" s="73">
        <v>4</v>
      </c>
      <c r="AP26" s="73">
        <v>39</v>
      </c>
      <c r="AQ26" s="74">
        <v>1026</v>
      </c>
    </row>
    <row r="27" spans="1:43">
      <c r="A27" s="284"/>
      <c r="B27" s="71" t="s">
        <v>137</v>
      </c>
      <c r="C27" s="69">
        <f t="shared" si="1"/>
        <v>10809</v>
      </c>
      <c r="D27" s="69"/>
      <c r="E27" s="194"/>
      <c r="F27" s="72"/>
      <c r="G27" s="195"/>
      <c r="H27" s="72"/>
      <c r="I27" s="73">
        <v>1</v>
      </c>
      <c r="J27" s="72"/>
      <c r="K27" s="73">
        <v>966</v>
      </c>
      <c r="L27" s="72"/>
      <c r="M27" s="73">
        <v>83</v>
      </c>
      <c r="N27" s="73">
        <v>1375</v>
      </c>
      <c r="O27" s="73">
        <v>63</v>
      </c>
      <c r="P27" s="73">
        <v>3</v>
      </c>
      <c r="Q27" s="73"/>
      <c r="R27" s="73"/>
      <c r="S27" s="73">
        <v>1</v>
      </c>
      <c r="T27" s="72"/>
      <c r="U27" s="73">
        <v>6</v>
      </c>
      <c r="V27" s="72"/>
      <c r="W27" s="73">
        <v>2</v>
      </c>
      <c r="X27" s="72"/>
      <c r="Y27" s="72">
        <v>1</v>
      </c>
      <c r="Z27" s="72"/>
      <c r="AA27" s="72"/>
      <c r="AB27" s="72"/>
      <c r="AC27" s="73">
        <v>1</v>
      </c>
      <c r="AD27" s="72"/>
      <c r="AE27" s="72">
        <v>1</v>
      </c>
      <c r="AF27" s="73">
        <v>7901</v>
      </c>
      <c r="AG27" s="73">
        <v>26</v>
      </c>
      <c r="AH27" s="73">
        <v>211</v>
      </c>
      <c r="AI27" s="73">
        <v>41</v>
      </c>
      <c r="AJ27" s="73"/>
      <c r="AK27" s="73"/>
      <c r="AL27" s="73">
        <v>1</v>
      </c>
      <c r="AM27" s="72">
        <v>1</v>
      </c>
      <c r="AN27" s="72"/>
      <c r="AO27" s="73">
        <v>1</v>
      </c>
      <c r="AP27" s="73">
        <v>12</v>
      </c>
      <c r="AQ27" s="74">
        <v>112</v>
      </c>
    </row>
    <row r="28" spans="1:43">
      <c r="A28" s="284"/>
      <c r="B28" s="71" t="s">
        <v>138</v>
      </c>
      <c r="C28" s="69">
        <f t="shared" si="1"/>
        <v>774</v>
      </c>
      <c r="D28" s="69"/>
      <c r="E28" s="194"/>
      <c r="F28" s="72"/>
      <c r="G28" s="195">
        <v>3</v>
      </c>
      <c r="H28" s="73"/>
      <c r="I28" s="73"/>
      <c r="J28" s="72"/>
      <c r="K28" s="73">
        <v>55</v>
      </c>
      <c r="L28" s="72"/>
      <c r="M28" s="73">
        <v>5</v>
      </c>
      <c r="N28" s="73">
        <v>104</v>
      </c>
      <c r="O28" s="73">
        <v>3</v>
      </c>
      <c r="P28" s="73">
        <v>2</v>
      </c>
      <c r="Q28" s="73"/>
      <c r="R28" s="72"/>
      <c r="S28" s="73"/>
      <c r="T28" s="72"/>
      <c r="U28" s="73">
        <v>2</v>
      </c>
      <c r="V28" s="72"/>
      <c r="W28" s="73"/>
      <c r="X28" s="72"/>
      <c r="Y28" s="72"/>
      <c r="Z28" s="72"/>
      <c r="AA28" s="72"/>
      <c r="AB28" s="72"/>
      <c r="AC28" s="72"/>
      <c r="AD28" s="72"/>
      <c r="AE28" s="72"/>
      <c r="AF28" s="73">
        <v>591</v>
      </c>
      <c r="AG28" s="73"/>
      <c r="AH28" s="73">
        <v>4</v>
      </c>
      <c r="AI28" s="73">
        <v>1</v>
      </c>
      <c r="AJ28" s="72"/>
      <c r="AK28" s="72"/>
      <c r="AL28" s="73"/>
      <c r="AM28" s="72"/>
      <c r="AN28" s="72"/>
      <c r="AO28" s="73"/>
      <c r="AP28" s="73">
        <v>1</v>
      </c>
      <c r="AQ28" s="74">
        <v>3</v>
      </c>
    </row>
    <row r="29" spans="1:43">
      <c r="A29" s="284" t="s">
        <v>19</v>
      </c>
      <c r="B29" s="71" t="s">
        <v>139</v>
      </c>
      <c r="C29" s="69">
        <f t="shared" si="1"/>
        <v>2</v>
      </c>
      <c r="D29" s="73"/>
      <c r="E29" s="194"/>
      <c r="F29" s="72"/>
      <c r="G29" s="195"/>
      <c r="H29" s="72"/>
      <c r="I29" s="72"/>
      <c r="J29" s="72"/>
      <c r="K29" s="72"/>
      <c r="L29" s="72"/>
      <c r="M29" s="72">
        <v>2</v>
      </c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5"/>
    </row>
    <row r="30" spans="1:43">
      <c r="A30" s="284"/>
      <c r="B30" s="71" t="s">
        <v>140</v>
      </c>
      <c r="C30" s="69">
        <f t="shared" si="1"/>
        <v>20</v>
      </c>
      <c r="D30" s="72"/>
      <c r="E30" s="194"/>
      <c r="F30" s="72"/>
      <c r="G30" s="194"/>
      <c r="H30" s="72"/>
      <c r="I30" s="72"/>
      <c r="J30" s="72"/>
      <c r="K30" s="72">
        <v>1</v>
      </c>
      <c r="L30" s="72">
        <v>2</v>
      </c>
      <c r="M30" s="73">
        <v>11</v>
      </c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>
        <v>2</v>
      </c>
      <c r="AC30" s="73">
        <v>2</v>
      </c>
      <c r="AD30" s="72"/>
      <c r="AE30" s="72">
        <v>1</v>
      </c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>
        <v>1</v>
      </c>
      <c r="AQ30" s="75"/>
    </row>
    <row r="31" spans="1:43">
      <c r="A31" s="284"/>
      <c r="B31" s="71" t="s">
        <v>141</v>
      </c>
      <c r="C31" s="69">
        <f t="shared" si="1"/>
        <v>26</v>
      </c>
      <c r="D31" s="72"/>
      <c r="E31" s="194"/>
      <c r="F31" s="72"/>
      <c r="G31" s="194"/>
      <c r="H31" s="72"/>
      <c r="I31" s="72"/>
      <c r="J31" s="72"/>
      <c r="K31" s="72">
        <v>2</v>
      </c>
      <c r="L31" s="72">
        <v>6</v>
      </c>
      <c r="M31" s="73">
        <v>10</v>
      </c>
      <c r="N31" s="72">
        <v>1</v>
      </c>
      <c r="O31" s="72"/>
      <c r="P31" s="72"/>
      <c r="Q31" s="72"/>
      <c r="R31" s="72"/>
      <c r="S31" s="72"/>
      <c r="T31" s="72">
        <v>1</v>
      </c>
      <c r="U31" s="72"/>
      <c r="V31" s="72"/>
      <c r="W31" s="72"/>
      <c r="X31" s="72"/>
      <c r="Y31" s="72"/>
      <c r="Z31" s="72"/>
      <c r="AA31" s="72"/>
      <c r="AB31" s="72"/>
      <c r="AC31" s="72">
        <v>1</v>
      </c>
      <c r="AD31" s="72">
        <v>3</v>
      </c>
      <c r="AE31" s="72"/>
      <c r="AF31" s="72"/>
      <c r="AG31" s="72"/>
      <c r="AH31" s="72"/>
      <c r="AI31" s="72"/>
      <c r="AJ31" s="72"/>
      <c r="AK31" s="72"/>
      <c r="AL31" s="72"/>
      <c r="AM31" s="72">
        <v>1</v>
      </c>
      <c r="AN31" s="72"/>
      <c r="AO31" s="72"/>
      <c r="AP31" s="72">
        <v>1</v>
      </c>
      <c r="AQ31" s="75"/>
    </row>
    <row r="32" spans="1:43">
      <c r="A32" s="284"/>
      <c r="B32" s="71" t="s">
        <v>122</v>
      </c>
      <c r="C32" s="69">
        <f t="shared" si="1"/>
        <v>69</v>
      </c>
      <c r="D32" s="72"/>
      <c r="E32" s="194"/>
      <c r="F32" s="72"/>
      <c r="G32" s="194"/>
      <c r="H32" s="73">
        <v>1</v>
      </c>
      <c r="I32" s="72"/>
      <c r="J32" s="72">
        <v>1</v>
      </c>
      <c r="K32" s="73">
        <v>5</v>
      </c>
      <c r="L32" s="73">
        <v>10</v>
      </c>
      <c r="M32" s="73">
        <v>29</v>
      </c>
      <c r="N32" s="72">
        <v>3</v>
      </c>
      <c r="O32" s="72"/>
      <c r="P32" s="72"/>
      <c r="Q32" s="72"/>
      <c r="R32" s="72"/>
      <c r="S32" s="72"/>
      <c r="T32" s="72">
        <v>4</v>
      </c>
      <c r="U32" s="72">
        <v>1</v>
      </c>
      <c r="V32" s="72"/>
      <c r="W32" s="72"/>
      <c r="X32" s="72">
        <v>1</v>
      </c>
      <c r="Y32" s="72">
        <v>1</v>
      </c>
      <c r="Z32" s="72"/>
      <c r="AA32" s="72"/>
      <c r="AB32" s="72">
        <v>1</v>
      </c>
      <c r="AC32" s="72">
        <v>6</v>
      </c>
      <c r="AD32" s="73">
        <v>1</v>
      </c>
      <c r="AE32" s="72"/>
      <c r="AF32" s="72"/>
      <c r="AG32" s="72"/>
      <c r="AH32" s="72"/>
      <c r="AI32" s="72"/>
      <c r="AJ32" s="72"/>
      <c r="AK32" s="72"/>
      <c r="AL32" s="72">
        <v>3</v>
      </c>
      <c r="AM32" s="72"/>
      <c r="AN32" s="72"/>
      <c r="AO32" s="72"/>
      <c r="AP32" s="72">
        <v>2</v>
      </c>
      <c r="AQ32" s="75"/>
    </row>
    <row r="33" spans="1:43">
      <c r="A33" s="284"/>
      <c r="B33" s="71" t="s">
        <v>123</v>
      </c>
      <c r="C33" s="69">
        <f t="shared" si="1"/>
        <v>112</v>
      </c>
      <c r="D33" s="72"/>
      <c r="E33" s="194"/>
      <c r="F33" s="72"/>
      <c r="G33" s="194"/>
      <c r="H33" s="72"/>
      <c r="I33" s="72"/>
      <c r="J33" s="72"/>
      <c r="K33" s="73">
        <v>14</v>
      </c>
      <c r="L33" s="73">
        <v>5</v>
      </c>
      <c r="M33" s="73">
        <v>37</v>
      </c>
      <c r="N33" s="73">
        <v>1</v>
      </c>
      <c r="O33" s="72">
        <v>5</v>
      </c>
      <c r="P33" s="72"/>
      <c r="Q33" s="72"/>
      <c r="R33" s="72"/>
      <c r="S33" s="72"/>
      <c r="T33" s="73">
        <v>27</v>
      </c>
      <c r="U33" s="73">
        <v>3</v>
      </c>
      <c r="V33" s="72"/>
      <c r="W33" s="72"/>
      <c r="X33" s="73"/>
      <c r="Y33" s="72"/>
      <c r="Z33" s="73">
        <v>4</v>
      </c>
      <c r="AA33" s="72"/>
      <c r="AB33" s="73">
        <v>2</v>
      </c>
      <c r="AC33" s="73">
        <v>4</v>
      </c>
      <c r="AD33" s="72">
        <v>1</v>
      </c>
      <c r="AE33" s="72"/>
      <c r="AF33" s="72"/>
      <c r="AG33" s="72"/>
      <c r="AH33" s="72"/>
      <c r="AI33" s="72"/>
      <c r="AJ33" s="72"/>
      <c r="AK33" s="72"/>
      <c r="AL33" s="73">
        <v>5</v>
      </c>
      <c r="AM33" s="72">
        <v>1</v>
      </c>
      <c r="AN33" s="72"/>
      <c r="AO33" s="72"/>
      <c r="AP33" s="73">
        <v>3</v>
      </c>
      <c r="AQ33" s="75"/>
    </row>
    <row r="34" spans="1:43">
      <c r="A34" s="284"/>
      <c r="B34" s="71" t="s">
        <v>124</v>
      </c>
      <c r="C34" s="69">
        <f t="shared" si="1"/>
        <v>323</v>
      </c>
      <c r="D34" s="72"/>
      <c r="E34" s="194"/>
      <c r="F34" s="72"/>
      <c r="G34" s="194"/>
      <c r="H34" s="72"/>
      <c r="I34" s="72">
        <v>3</v>
      </c>
      <c r="J34" s="72"/>
      <c r="K34" s="73">
        <v>30</v>
      </c>
      <c r="L34" s="73">
        <v>37</v>
      </c>
      <c r="M34" s="73">
        <v>104</v>
      </c>
      <c r="N34" s="72">
        <v>4</v>
      </c>
      <c r="O34" s="73">
        <v>7</v>
      </c>
      <c r="P34" s="72"/>
      <c r="Q34" s="72"/>
      <c r="R34" s="72"/>
      <c r="S34" s="72"/>
      <c r="T34" s="73">
        <v>62</v>
      </c>
      <c r="U34" s="73">
        <v>7</v>
      </c>
      <c r="V34" s="72"/>
      <c r="W34" s="72"/>
      <c r="X34" s="72"/>
      <c r="Y34" s="72">
        <v>1</v>
      </c>
      <c r="Z34" s="73">
        <v>6</v>
      </c>
      <c r="AA34" s="72">
        <v>1</v>
      </c>
      <c r="AB34" s="72">
        <v>5</v>
      </c>
      <c r="AC34" s="73">
        <v>12</v>
      </c>
      <c r="AD34" s="72">
        <v>4</v>
      </c>
      <c r="AE34" s="72"/>
      <c r="AF34" s="72"/>
      <c r="AG34" s="72"/>
      <c r="AH34" s="72"/>
      <c r="AI34" s="72"/>
      <c r="AJ34" s="72"/>
      <c r="AK34" s="72"/>
      <c r="AL34" s="73">
        <v>17</v>
      </c>
      <c r="AM34" s="72">
        <v>15</v>
      </c>
      <c r="AN34" s="72"/>
      <c r="AO34" s="72">
        <v>4</v>
      </c>
      <c r="AP34" s="73">
        <v>4</v>
      </c>
      <c r="AQ34" s="75"/>
    </row>
    <row r="35" spans="1:43">
      <c r="A35" s="284"/>
      <c r="B35" s="71" t="s">
        <v>125</v>
      </c>
      <c r="C35" s="69">
        <f t="shared" si="1"/>
        <v>533</v>
      </c>
      <c r="D35" s="72"/>
      <c r="E35" s="194"/>
      <c r="F35" s="72"/>
      <c r="G35" s="195">
        <v>5</v>
      </c>
      <c r="H35" s="72"/>
      <c r="I35" s="73"/>
      <c r="J35" s="73">
        <v>3</v>
      </c>
      <c r="K35" s="73">
        <v>101</v>
      </c>
      <c r="L35" s="73">
        <v>38</v>
      </c>
      <c r="M35" s="73">
        <v>124</v>
      </c>
      <c r="N35" s="73">
        <v>20</v>
      </c>
      <c r="O35" s="72">
        <v>15</v>
      </c>
      <c r="P35" s="72"/>
      <c r="Q35" s="72"/>
      <c r="R35" s="72">
        <v>1</v>
      </c>
      <c r="S35" s="72"/>
      <c r="T35" s="73">
        <v>114</v>
      </c>
      <c r="U35" s="73">
        <v>8</v>
      </c>
      <c r="V35" s="72"/>
      <c r="W35" s="72"/>
      <c r="X35" s="73">
        <v>1</v>
      </c>
      <c r="Y35" s="73">
        <v>1</v>
      </c>
      <c r="Z35" s="73">
        <v>3</v>
      </c>
      <c r="AA35" s="72">
        <v>1</v>
      </c>
      <c r="AB35" s="73">
        <v>14</v>
      </c>
      <c r="AC35" s="72">
        <v>10</v>
      </c>
      <c r="AD35" s="73">
        <v>3</v>
      </c>
      <c r="AE35" s="72">
        <v>1</v>
      </c>
      <c r="AF35" s="72"/>
      <c r="AG35" s="72"/>
      <c r="AH35" s="72"/>
      <c r="AI35" s="72"/>
      <c r="AJ35" s="72"/>
      <c r="AK35" s="72"/>
      <c r="AL35" s="73">
        <v>34</v>
      </c>
      <c r="AM35" s="73">
        <v>16</v>
      </c>
      <c r="AN35" s="72"/>
      <c r="AO35" s="73">
        <v>4</v>
      </c>
      <c r="AP35" s="73">
        <v>16</v>
      </c>
      <c r="AQ35" s="75"/>
    </row>
    <row r="36" spans="1:43">
      <c r="A36" s="284"/>
      <c r="B36" s="71" t="s">
        <v>126</v>
      </c>
      <c r="C36" s="69">
        <f t="shared" si="1"/>
        <v>1524</v>
      </c>
      <c r="D36" s="72"/>
      <c r="E36" s="194"/>
      <c r="F36" s="72"/>
      <c r="G36" s="195">
        <v>3</v>
      </c>
      <c r="H36" s="72"/>
      <c r="I36" s="72">
        <v>2</v>
      </c>
      <c r="J36" s="73">
        <v>14</v>
      </c>
      <c r="K36" s="73">
        <v>592</v>
      </c>
      <c r="L36" s="73">
        <v>131</v>
      </c>
      <c r="M36" s="73">
        <v>297</v>
      </c>
      <c r="N36" s="73">
        <v>88</v>
      </c>
      <c r="O36" s="73">
        <v>50</v>
      </c>
      <c r="P36" s="72"/>
      <c r="Q36" s="72"/>
      <c r="R36" s="73"/>
      <c r="S36" s="72">
        <v>1</v>
      </c>
      <c r="T36" s="73">
        <v>144</v>
      </c>
      <c r="U36" s="73">
        <v>23</v>
      </c>
      <c r="V36" s="72"/>
      <c r="W36" s="72">
        <v>2</v>
      </c>
      <c r="X36" s="72">
        <v>1</v>
      </c>
      <c r="Y36" s="73">
        <v>3</v>
      </c>
      <c r="Z36" s="73">
        <v>5</v>
      </c>
      <c r="AA36" s="72"/>
      <c r="AB36" s="73">
        <v>31</v>
      </c>
      <c r="AC36" s="73">
        <v>12</v>
      </c>
      <c r="AD36" s="72">
        <v>20</v>
      </c>
      <c r="AE36" s="72"/>
      <c r="AF36" s="72"/>
      <c r="AG36" s="72"/>
      <c r="AH36" s="72"/>
      <c r="AI36" s="72"/>
      <c r="AJ36" s="72"/>
      <c r="AK36" s="73">
        <v>3</v>
      </c>
      <c r="AL36" s="73">
        <v>41</v>
      </c>
      <c r="AM36" s="73">
        <v>16</v>
      </c>
      <c r="AN36" s="72"/>
      <c r="AO36" s="73">
        <v>14</v>
      </c>
      <c r="AP36" s="73">
        <v>31</v>
      </c>
      <c r="AQ36" s="75"/>
    </row>
    <row r="37" spans="1:43">
      <c r="A37" s="284"/>
      <c r="B37" s="71" t="s">
        <v>127</v>
      </c>
      <c r="C37" s="69">
        <f t="shared" si="1"/>
        <v>3979</v>
      </c>
      <c r="D37" s="72">
        <v>1</v>
      </c>
      <c r="E37" s="194"/>
      <c r="F37" s="72"/>
      <c r="G37" s="195">
        <v>22</v>
      </c>
      <c r="H37" s="72"/>
      <c r="I37" s="72">
        <v>8</v>
      </c>
      <c r="J37" s="73">
        <v>61</v>
      </c>
      <c r="K37" s="73">
        <v>2074</v>
      </c>
      <c r="L37" s="73">
        <v>233</v>
      </c>
      <c r="M37" s="73">
        <v>548</v>
      </c>
      <c r="N37" s="73">
        <v>477</v>
      </c>
      <c r="O37" s="73">
        <v>108</v>
      </c>
      <c r="P37" s="73">
        <v>5</v>
      </c>
      <c r="Q37" s="72"/>
      <c r="R37" s="73">
        <v>6</v>
      </c>
      <c r="S37" s="73">
        <v>3</v>
      </c>
      <c r="T37" s="73">
        <v>173</v>
      </c>
      <c r="U37" s="73">
        <v>48</v>
      </c>
      <c r="V37" s="72"/>
      <c r="W37" s="73">
        <v>1</v>
      </c>
      <c r="X37" s="73">
        <v>2</v>
      </c>
      <c r="Y37" s="73">
        <v>3</v>
      </c>
      <c r="Z37" s="73">
        <v>7</v>
      </c>
      <c r="AA37" s="72">
        <v>2</v>
      </c>
      <c r="AB37" s="73">
        <v>51</v>
      </c>
      <c r="AC37" s="73">
        <v>21</v>
      </c>
      <c r="AD37" s="73">
        <v>34</v>
      </c>
      <c r="AE37" s="72">
        <v>1</v>
      </c>
      <c r="AF37" s="72"/>
      <c r="AG37" s="72"/>
      <c r="AH37" s="72"/>
      <c r="AI37" s="72"/>
      <c r="AJ37" s="72"/>
      <c r="AK37" s="73">
        <v>15</v>
      </c>
      <c r="AL37" s="73">
        <v>16</v>
      </c>
      <c r="AM37" s="73">
        <v>9</v>
      </c>
      <c r="AN37" s="72"/>
      <c r="AO37" s="73">
        <v>14</v>
      </c>
      <c r="AP37" s="73">
        <v>36</v>
      </c>
      <c r="AQ37" s="75"/>
    </row>
    <row r="38" spans="1:43">
      <c r="A38" s="284"/>
      <c r="B38" s="71" t="s">
        <v>128</v>
      </c>
      <c r="C38" s="69">
        <f t="shared" si="1"/>
        <v>8761</v>
      </c>
      <c r="D38" s="73">
        <v>11</v>
      </c>
      <c r="E38" s="194"/>
      <c r="F38" s="72"/>
      <c r="G38" s="195">
        <v>54</v>
      </c>
      <c r="H38" s="73">
        <v>7</v>
      </c>
      <c r="I38" s="73">
        <v>38</v>
      </c>
      <c r="J38" s="73">
        <v>167</v>
      </c>
      <c r="K38" s="73">
        <v>4239</v>
      </c>
      <c r="L38" s="73">
        <v>372</v>
      </c>
      <c r="M38" s="73">
        <v>985</v>
      </c>
      <c r="N38" s="73">
        <v>1853</v>
      </c>
      <c r="O38" s="73">
        <v>217</v>
      </c>
      <c r="P38" s="73">
        <v>1</v>
      </c>
      <c r="Q38" s="72"/>
      <c r="R38" s="73">
        <v>23</v>
      </c>
      <c r="S38" s="73">
        <v>11</v>
      </c>
      <c r="T38" s="73">
        <v>335</v>
      </c>
      <c r="U38" s="73">
        <v>99</v>
      </c>
      <c r="V38" s="72"/>
      <c r="W38" s="72">
        <v>9</v>
      </c>
      <c r="X38" s="73">
        <v>7</v>
      </c>
      <c r="Y38" s="73">
        <v>5</v>
      </c>
      <c r="Z38" s="73">
        <v>15</v>
      </c>
      <c r="AA38" s="72">
        <v>4</v>
      </c>
      <c r="AB38" s="73">
        <v>127</v>
      </c>
      <c r="AC38" s="73">
        <v>26</v>
      </c>
      <c r="AD38" s="73">
        <v>50</v>
      </c>
      <c r="AE38" s="72">
        <v>1</v>
      </c>
      <c r="AF38" s="72"/>
      <c r="AG38" s="72"/>
      <c r="AH38" s="72"/>
      <c r="AI38" s="72"/>
      <c r="AJ38" s="72"/>
      <c r="AK38" s="73">
        <v>5</v>
      </c>
      <c r="AL38" s="73">
        <v>43</v>
      </c>
      <c r="AM38" s="73">
        <v>3</v>
      </c>
      <c r="AN38" s="72"/>
      <c r="AO38" s="73">
        <v>10</v>
      </c>
      <c r="AP38" s="73">
        <v>44</v>
      </c>
      <c r="AQ38" s="75"/>
    </row>
    <row r="39" spans="1:43">
      <c r="A39" s="284"/>
      <c r="B39" s="71" t="s">
        <v>129</v>
      </c>
      <c r="C39" s="69">
        <f t="shared" si="1"/>
        <v>14570</v>
      </c>
      <c r="D39" s="73">
        <v>21</v>
      </c>
      <c r="E39" s="194">
        <v>1</v>
      </c>
      <c r="F39" s="73">
        <v>1</v>
      </c>
      <c r="G39" s="195">
        <v>105</v>
      </c>
      <c r="H39" s="73">
        <v>19</v>
      </c>
      <c r="I39" s="73">
        <v>68</v>
      </c>
      <c r="J39" s="73">
        <v>290</v>
      </c>
      <c r="K39" s="73">
        <v>5806</v>
      </c>
      <c r="L39" s="73">
        <v>733</v>
      </c>
      <c r="M39" s="73">
        <v>1341</v>
      </c>
      <c r="N39" s="73">
        <v>4362</v>
      </c>
      <c r="O39" s="73">
        <v>443</v>
      </c>
      <c r="P39" s="73">
        <v>5</v>
      </c>
      <c r="Q39" s="73"/>
      <c r="R39" s="73">
        <v>22</v>
      </c>
      <c r="S39" s="73">
        <v>22</v>
      </c>
      <c r="T39" s="73">
        <v>560</v>
      </c>
      <c r="U39" s="73">
        <v>182</v>
      </c>
      <c r="V39" s="72">
        <v>3</v>
      </c>
      <c r="W39" s="73">
        <v>26</v>
      </c>
      <c r="X39" s="73">
        <v>17</v>
      </c>
      <c r="Y39" s="73">
        <v>10</v>
      </c>
      <c r="Z39" s="73">
        <v>26</v>
      </c>
      <c r="AA39" s="73">
        <v>10</v>
      </c>
      <c r="AB39" s="73">
        <v>207</v>
      </c>
      <c r="AC39" s="73">
        <v>55</v>
      </c>
      <c r="AD39" s="73">
        <v>72</v>
      </c>
      <c r="AE39" s="72">
        <v>2</v>
      </c>
      <c r="AF39" s="72"/>
      <c r="AG39" s="72"/>
      <c r="AH39" s="72"/>
      <c r="AI39" s="72"/>
      <c r="AJ39" s="72"/>
      <c r="AK39" s="73">
        <v>6</v>
      </c>
      <c r="AL39" s="73">
        <v>57</v>
      </c>
      <c r="AM39" s="73">
        <v>16</v>
      </c>
      <c r="AN39" s="72"/>
      <c r="AO39" s="73">
        <v>13</v>
      </c>
      <c r="AP39" s="73">
        <v>69</v>
      </c>
      <c r="AQ39" s="75"/>
    </row>
    <row r="40" spans="1:43">
      <c r="A40" s="284"/>
      <c r="B40" s="71" t="s">
        <v>130</v>
      </c>
      <c r="C40" s="69">
        <f t="shared" si="1"/>
        <v>24893</v>
      </c>
      <c r="D40" s="73">
        <v>33</v>
      </c>
      <c r="E40" s="195">
        <v>2</v>
      </c>
      <c r="F40" s="72">
        <v>2</v>
      </c>
      <c r="G40" s="195">
        <v>226</v>
      </c>
      <c r="H40" s="73">
        <v>25</v>
      </c>
      <c r="I40" s="73">
        <v>128</v>
      </c>
      <c r="J40" s="73">
        <v>402</v>
      </c>
      <c r="K40" s="73">
        <v>9349</v>
      </c>
      <c r="L40" s="73">
        <v>1083</v>
      </c>
      <c r="M40" s="73">
        <v>1884</v>
      </c>
      <c r="N40" s="73">
        <v>9127</v>
      </c>
      <c r="O40" s="73">
        <v>711</v>
      </c>
      <c r="P40" s="73">
        <v>32</v>
      </c>
      <c r="Q40" s="73">
        <v>1</v>
      </c>
      <c r="R40" s="73">
        <v>15</v>
      </c>
      <c r="S40" s="73">
        <v>23</v>
      </c>
      <c r="T40" s="73">
        <v>819</v>
      </c>
      <c r="U40" s="73">
        <v>212</v>
      </c>
      <c r="V40" s="73">
        <v>1</v>
      </c>
      <c r="W40" s="73">
        <v>65</v>
      </c>
      <c r="X40" s="73">
        <v>17</v>
      </c>
      <c r="Y40" s="73">
        <v>15</v>
      </c>
      <c r="Z40" s="73">
        <v>33</v>
      </c>
      <c r="AA40" s="73">
        <v>14</v>
      </c>
      <c r="AB40" s="73">
        <v>256</v>
      </c>
      <c r="AC40" s="73">
        <v>85</v>
      </c>
      <c r="AD40" s="73">
        <v>50</v>
      </c>
      <c r="AE40" s="73">
        <v>6</v>
      </c>
      <c r="AF40" s="72"/>
      <c r="AG40" s="72"/>
      <c r="AH40" s="72"/>
      <c r="AI40" s="72"/>
      <c r="AJ40" s="72"/>
      <c r="AK40" s="73">
        <v>8</v>
      </c>
      <c r="AL40" s="73">
        <v>96</v>
      </c>
      <c r="AM40" s="73">
        <v>39</v>
      </c>
      <c r="AN40" s="72">
        <v>1</v>
      </c>
      <c r="AO40" s="73">
        <v>19</v>
      </c>
      <c r="AP40" s="73">
        <v>114</v>
      </c>
      <c r="AQ40" s="75"/>
    </row>
    <row r="41" spans="1:43">
      <c r="A41" s="284"/>
      <c r="B41" s="71" t="s">
        <v>131</v>
      </c>
      <c r="C41" s="69">
        <f t="shared" si="1"/>
        <v>48214</v>
      </c>
      <c r="D41" s="73">
        <v>56</v>
      </c>
      <c r="E41" s="195">
        <v>1</v>
      </c>
      <c r="F41" s="73"/>
      <c r="G41" s="195">
        <v>411</v>
      </c>
      <c r="H41" s="73">
        <v>63</v>
      </c>
      <c r="I41" s="73">
        <v>223</v>
      </c>
      <c r="J41" s="73">
        <v>576</v>
      </c>
      <c r="K41" s="73">
        <v>18569</v>
      </c>
      <c r="L41" s="73">
        <v>1941</v>
      </c>
      <c r="M41" s="73">
        <v>2928</v>
      </c>
      <c r="N41" s="73">
        <v>19386</v>
      </c>
      <c r="O41" s="73">
        <v>1231</v>
      </c>
      <c r="P41" s="73">
        <v>60</v>
      </c>
      <c r="Q41" s="73">
        <v>5</v>
      </c>
      <c r="R41" s="73">
        <v>19</v>
      </c>
      <c r="S41" s="73">
        <v>10</v>
      </c>
      <c r="T41" s="73">
        <v>1297</v>
      </c>
      <c r="U41" s="73">
        <v>398</v>
      </c>
      <c r="V41" s="72">
        <v>4</v>
      </c>
      <c r="W41" s="73">
        <v>76</v>
      </c>
      <c r="X41" s="73">
        <v>35</v>
      </c>
      <c r="Y41" s="73">
        <v>24</v>
      </c>
      <c r="Z41" s="73">
        <v>47</v>
      </c>
      <c r="AA41" s="73">
        <v>21</v>
      </c>
      <c r="AB41" s="73">
        <v>278</v>
      </c>
      <c r="AC41" s="73">
        <v>112</v>
      </c>
      <c r="AD41" s="73">
        <v>30</v>
      </c>
      <c r="AE41" s="73">
        <v>10</v>
      </c>
      <c r="AF41" s="72"/>
      <c r="AG41" s="72"/>
      <c r="AH41" s="72"/>
      <c r="AI41" s="72"/>
      <c r="AJ41" s="72"/>
      <c r="AK41" s="73">
        <v>20</v>
      </c>
      <c r="AL41" s="73">
        <v>124</v>
      </c>
      <c r="AM41" s="73">
        <v>65</v>
      </c>
      <c r="AN41" s="73">
        <v>8</v>
      </c>
      <c r="AO41" s="73">
        <v>24</v>
      </c>
      <c r="AP41" s="73">
        <v>162</v>
      </c>
      <c r="AQ41" s="75"/>
    </row>
    <row r="42" spans="1:43">
      <c r="A42" s="284"/>
      <c r="B42" s="71" t="s">
        <v>132</v>
      </c>
      <c r="C42" s="69">
        <f t="shared" si="1"/>
        <v>54201</v>
      </c>
      <c r="D42" s="73">
        <v>104</v>
      </c>
      <c r="E42" s="195">
        <v>3</v>
      </c>
      <c r="F42" s="72">
        <v>4</v>
      </c>
      <c r="G42" s="195">
        <v>569</v>
      </c>
      <c r="H42" s="73">
        <v>88</v>
      </c>
      <c r="I42" s="73">
        <v>359</v>
      </c>
      <c r="J42" s="73">
        <v>6107</v>
      </c>
      <c r="K42" s="73">
        <v>23641</v>
      </c>
      <c r="L42" s="73">
        <v>2640</v>
      </c>
      <c r="M42" s="73">
        <v>3129</v>
      </c>
      <c r="N42" s="73">
        <v>13562</v>
      </c>
      <c r="O42" s="73">
        <v>1216</v>
      </c>
      <c r="P42" s="73">
        <v>47</v>
      </c>
      <c r="Q42" s="73">
        <v>6</v>
      </c>
      <c r="R42" s="73">
        <v>20</v>
      </c>
      <c r="S42" s="73">
        <v>21</v>
      </c>
      <c r="T42" s="73">
        <v>1364</v>
      </c>
      <c r="U42" s="73">
        <v>524</v>
      </c>
      <c r="V42" s="73">
        <v>1</v>
      </c>
      <c r="W42" s="73">
        <v>25</v>
      </c>
      <c r="X42" s="73">
        <v>41</v>
      </c>
      <c r="Y42" s="73">
        <v>21</v>
      </c>
      <c r="Z42" s="73">
        <v>34</v>
      </c>
      <c r="AA42" s="73">
        <v>30</v>
      </c>
      <c r="AB42" s="73">
        <v>243</v>
      </c>
      <c r="AC42" s="73">
        <v>75</v>
      </c>
      <c r="AD42" s="73">
        <v>16</v>
      </c>
      <c r="AE42" s="72">
        <v>1</v>
      </c>
      <c r="AF42" s="72"/>
      <c r="AG42" s="72"/>
      <c r="AH42" s="72"/>
      <c r="AI42" s="72"/>
      <c r="AJ42" s="72"/>
      <c r="AK42" s="73">
        <v>18</v>
      </c>
      <c r="AL42" s="73">
        <v>83</v>
      </c>
      <c r="AM42" s="73">
        <v>34</v>
      </c>
      <c r="AN42" s="73">
        <v>7</v>
      </c>
      <c r="AO42" s="73">
        <v>36</v>
      </c>
      <c r="AP42" s="73">
        <v>132</v>
      </c>
      <c r="AQ42" s="75"/>
    </row>
    <row r="43" spans="1:43">
      <c r="A43" s="284"/>
      <c r="B43" s="71" t="s">
        <v>133</v>
      </c>
      <c r="C43" s="69">
        <f t="shared" si="1"/>
        <v>53341</v>
      </c>
      <c r="D43" s="73">
        <v>96</v>
      </c>
      <c r="E43" s="195">
        <v>5</v>
      </c>
      <c r="F43" s="73">
        <v>8</v>
      </c>
      <c r="G43" s="195">
        <v>789</v>
      </c>
      <c r="H43" s="73">
        <v>128</v>
      </c>
      <c r="I43" s="73">
        <v>516</v>
      </c>
      <c r="J43" s="73">
        <v>18385</v>
      </c>
      <c r="K43" s="73">
        <v>17497</v>
      </c>
      <c r="L43" s="73">
        <v>2211</v>
      </c>
      <c r="M43" s="73">
        <v>2877</v>
      </c>
      <c r="N43" s="73">
        <v>7221</v>
      </c>
      <c r="O43" s="73">
        <v>1029</v>
      </c>
      <c r="P43" s="73">
        <v>19</v>
      </c>
      <c r="Q43" s="73">
        <v>3</v>
      </c>
      <c r="R43" s="73">
        <v>38</v>
      </c>
      <c r="S43" s="73">
        <v>58</v>
      </c>
      <c r="T43" s="73">
        <v>1404</v>
      </c>
      <c r="U43" s="73">
        <v>507</v>
      </c>
      <c r="V43" s="72">
        <v>2</v>
      </c>
      <c r="W43" s="73">
        <v>8</v>
      </c>
      <c r="X43" s="73">
        <v>31</v>
      </c>
      <c r="Y43" s="73">
        <v>12</v>
      </c>
      <c r="Z43" s="73">
        <v>19</v>
      </c>
      <c r="AA43" s="73">
        <v>15</v>
      </c>
      <c r="AB43" s="73">
        <v>160</v>
      </c>
      <c r="AC43" s="73">
        <v>77</v>
      </c>
      <c r="AD43" s="73">
        <v>2</v>
      </c>
      <c r="AE43" s="72"/>
      <c r="AF43" s="72"/>
      <c r="AG43" s="72"/>
      <c r="AH43" s="72"/>
      <c r="AI43" s="72"/>
      <c r="AJ43" s="72"/>
      <c r="AK43" s="73">
        <v>23</v>
      </c>
      <c r="AL43" s="73">
        <v>91</v>
      </c>
      <c r="AM43" s="73">
        <v>15</v>
      </c>
      <c r="AN43" s="73">
        <v>3</v>
      </c>
      <c r="AO43" s="73">
        <v>30</v>
      </c>
      <c r="AP43" s="73">
        <v>62</v>
      </c>
      <c r="AQ43" s="75"/>
    </row>
    <row r="44" spans="1:43">
      <c r="A44" s="284"/>
      <c r="B44" s="71" t="s">
        <v>134</v>
      </c>
      <c r="C44" s="69">
        <f t="shared" si="1"/>
        <v>24034</v>
      </c>
      <c r="D44" s="73">
        <v>150</v>
      </c>
      <c r="E44" s="195">
        <v>3</v>
      </c>
      <c r="F44" s="73">
        <v>15</v>
      </c>
      <c r="G44" s="195">
        <v>805</v>
      </c>
      <c r="H44" s="73">
        <v>162</v>
      </c>
      <c r="I44" s="73">
        <v>554</v>
      </c>
      <c r="J44" s="73">
        <v>4826</v>
      </c>
      <c r="K44" s="73">
        <v>7008</v>
      </c>
      <c r="L44" s="73">
        <v>1766</v>
      </c>
      <c r="M44" s="73">
        <v>2183</v>
      </c>
      <c r="N44" s="73">
        <v>3519</v>
      </c>
      <c r="O44" s="73">
        <v>960</v>
      </c>
      <c r="P44" s="73">
        <v>14</v>
      </c>
      <c r="Q44" s="73">
        <v>3</v>
      </c>
      <c r="R44" s="73">
        <v>57</v>
      </c>
      <c r="S44" s="73">
        <v>99</v>
      </c>
      <c r="T44" s="73">
        <v>1069</v>
      </c>
      <c r="U44" s="73">
        <v>410</v>
      </c>
      <c r="V44" s="73">
        <v>1</v>
      </c>
      <c r="W44" s="73">
        <v>29</v>
      </c>
      <c r="X44" s="73">
        <v>10</v>
      </c>
      <c r="Y44" s="73">
        <v>13</v>
      </c>
      <c r="Z44" s="73">
        <v>6</v>
      </c>
      <c r="AA44" s="73">
        <v>6</v>
      </c>
      <c r="AB44" s="73">
        <v>104</v>
      </c>
      <c r="AC44" s="73">
        <v>65</v>
      </c>
      <c r="AD44" s="73">
        <v>6</v>
      </c>
      <c r="AE44" s="72"/>
      <c r="AF44" s="72"/>
      <c r="AG44" s="72"/>
      <c r="AH44" s="72"/>
      <c r="AI44" s="72"/>
      <c r="AJ44" s="72"/>
      <c r="AK44" s="73">
        <v>13</v>
      </c>
      <c r="AL44" s="73">
        <v>53</v>
      </c>
      <c r="AM44" s="73">
        <v>18</v>
      </c>
      <c r="AN44" s="73">
        <v>3</v>
      </c>
      <c r="AO44" s="73">
        <v>14</v>
      </c>
      <c r="AP44" s="73">
        <v>90</v>
      </c>
      <c r="AQ44" s="75"/>
    </row>
    <row r="45" spans="1:43">
      <c r="A45" s="284"/>
      <c r="B45" s="71" t="s">
        <v>135</v>
      </c>
      <c r="C45" s="69">
        <f t="shared" si="1"/>
        <v>27883</v>
      </c>
      <c r="D45" s="73">
        <v>168</v>
      </c>
      <c r="E45" s="195">
        <v>8</v>
      </c>
      <c r="F45" s="73">
        <v>13</v>
      </c>
      <c r="G45" s="195">
        <v>842</v>
      </c>
      <c r="H45" s="73">
        <v>174</v>
      </c>
      <c r="I45" s="73">
        <v>602</v>
      </c>
      <c r="J45" s="73">
        <v>1495</v>
      </c>
      <c r="K45" s="73">
        <v>9444</v>
      </c>
      <c r="L45" s="73">
        <v>1793</v>
      </c>
      <c r="M45" s="73">
        <v>2051</v>
      </c>
      <c r="N45" s="73">
        <v>8645</v>
      </c>
      <c r="O45" s="73">
        <v>973</v>
      </c>
      <c r="P45" s="73">
        <v>35</v>
      </c>
      <c r="Q45" s="73">
        <v>5</v>
      </c>
      <c r="R45" s="73">
        <v>26</v>
      </c>
      <c r="S45" s="73">
        <v>50</v>
      </c>
      <c r="T45" s="73">
        <v>780</v>
      </c>
      <c r="U45" s="73">
        <v>328</v>
      </c>
      <c r="V45" s="73">
        <v>2</v>
      </c>
      <c r="W45" s="73">
        <v>69</v>
      </c>
      <c r="X45" s="73">
        <v>8</v>
      </c>
      <c r="Y45" s="73">
        <v>10</v>
      </c>
      <c r="Z45" s="73">
        <v>8</v>
      </c>
      <c r="AA45" s="73">
        <v>2</v>
      </c>
      <c r="AB45" s="73">
        <v>95</v>
      </c>
      <c r="AC45" s="73">
        <v>57</v>
      </c>
      <c r="AD45" s="73">
        <v>1</v>
      </c>
      <c r="AE45" s="72">
        <v>1</v>
      </c>
      <c r="AF45" s="72"/>
      <c r="AG45" s="72"/>
      <c r="AH45" s="72"/>
      <c r="AI45" s="72"/>
      <c r="AJ45" s="72"/>
      <c r="AK45" s="73">
        <v>21</v>
      </c>
      <c r="AL45" s="73">
        <v>35</v>
      </c>
      <c r="AM45" s="73">
        <v>10</v>
      </c>
      <c r="AN45" s="73">
        <v>3</v>
      </c>
      <c r="AO45" s="73">
        <v>13</v>
      </c>
      <c r="AP45" s="73">
        <v>116</v>
      </c>
      <c r="AQ45" s="75"/>
    </row>
    <row r="46" spans="1:43">
      <c r="A46" s="284"/>
      <c r="B46" s="71" t="s">
        <v>136</v>
      </c>
      <c r="C46" s="69">
        <f t="shared" si="1"/>
        <v>25999</v>
      </c>
      <c r="D46" s="73">
        <v>95</v>
      </c>
      <c r="E46" s="195">
        <v>3</v>
      </c>
      <c r="F46" s="73">
        <v>12</v>
      </c>
      <c r="G46" s="195">
        <v>486</v>
      </c>
      <c r="H46" s="73">
        <v>101</v>
      </c>
      <c r="I46" s="73">
        <v>331</v>
      </c>
      <c r="J46" s="73">
        <v>886</v>
      </c>
      <c r="K46" s="73">
        <v>10011</v>
      </c>
      <c r="L46" s="73">
        <v>1165</v>
      </c>
      <c r="M46" s="73">
        <v>1069</v>
      </c>
      <c r="N46" s="73">
        <v>10534</v>
      </c>
      <c r="O46" s="73">
        <v>466</v>
      </c>
      <c r="P46" s="73">
        <v>47</v>
      </c>
      <c r="Q46" s="73">
        <v>3</v>
      </c>
      <c r="R46" s="73">
        <v>5</v>
      </c>
      <c r="S46" s="73">
        <v>3</v>
      </c>
      <c r="T46" s="73">
        <v>382</v>
      </c>
      <c r="U46" s="73">
        <v>126</v>
      </c>
      <c r="V46" s="73">
        <v>1</v>
      </c>
      <c r="W46" s="73">
        <v>38</v>
      </c>
      <c r="X46" s="73">
        <v>4</v>
      </c>
      <c r="Y46" s="73">
        <v>5</v>
      </c>
      <c r="Z46" s="73">
        <v>2</v>
      </c>
      <c r="AA46" s="73"/>
      <c r="AB46" s="73">
        <v>78</v>
      </c>
      <c r="AC46" s="73">
        <v>31</v>
      </c>
      <c r="AD46" s="72"/>
      <c r="AE46" s="73"/>
      <c r="AF46" s="72"/>
      <c r="AG46" s="72"/>
      <c r="AH46" s="72"/>
      <c r="AI46" s="72"/>
      <c r="AJ46" s="72"/>
      <c r="AK46" s="73">
        <v>16</v>
      </c>
      <c r="AL46" s="73">
        <v>26</v>
      </c>
      <c r="AM46" s="73">
        <v>8</v>
      </c>
      <c r="AN46" s="73">
        <v>1</v>
      </c>
      <c r="AO46" s="73">
        <v>4</v>
      </c>
      <c r="AP46" s="73">
        <v>60</v>
      </c>
      <c r="AQ46" s="75"/>
    </row>
    <row r="47" spans="1:43">
      <c r="A47" s="284"/>
      <c r="B47" s="71" t="s">
        <v>137</v>
      </c>
      <c r="C47" s="69">
        <f t="shared" si="1"/>
        <v>5073</v>
      </c>
      <c r="D47" s="73">
        <v>28</v>
      </c>
      <c r="E47" s="195">
        <v>1</v>
      </c>
      <c r="F47" s="73"/>
      <c r="G47" s="195">
        <v>153</v>
      </c>
      <c r="H47" s="73">
        <v>21</v>
      </c>
      <c r="I47" s="73">
        <v>102</v>
      </c>
      <c r="J47" s="73">
        <v>767</v>
      </c>
      <c r="K47" s="73">
        <v>1546</v>
      </c>
      <c r="L47" s="73">
        <v>309</v>
      </c>
      <c r="M47" s="73">
        <v>138</v>
      </c>
      <c r="N47" s="73">
        <v>1821</v>
      </c>
      <c r="O47" s="73">
        <v>40</v>
      </c>
      <c r="P47" s="73">
        <v>14</v>
      </c>
      <c r="Q47" s="73"/>
      <c r="R47" s="73"/>
      <c r="S47" s="73">
        <v>2</v>
      </c>
      <c r="T47" s="73">
        <v>63</v>
      </c>
      <c r="U47" s="73">
        <v>18</v>
      </c>
      <c r="V47" s="72">
        <v>1</v>
      </c>
      <c r="W47" s="73">
        <v>4</v>
      </c>
      <c r="X47" s="73">
        <v>1</v>
      </c>
      <c r="Y47" s="73"/>
      <c r="Z47" s="73"/>
      <c r="AA47" s="73"/>
      <c r="AB47" s="73">
        <v>20</v>
      </c>
      <c r="AC47" s="73">
        <v>5</v>
      </c>
      <c r="AD47" s="72"/>
      <c r="AE47" s="72"/>
      <c r="AF47" s="72"/>
      <c r="AG47" s="72"/>
      <c r="AH47" s="72"/>
      <c r="AI47" s="72"/>
      <c r="AJ47" s="72"/>
      <c r="AK47" s="73">
        <v>7</v>
      </c>
      <c r="AL47" s="73"/>
      <c r="AM47" s="73"/>
      <c r="AN47" s="73"/>
      <c r="AO47" s="73"/>
      <c r="AP47" s="73">
        <v>12</v>
      </c>
      <c r="AQ47" s="75"/>
    </row>
    <row r="48" spans="1:43">
      <c r="A48" s="284"/>
      <c r="B48" s="71" t="s">
        <v>138</v>
      </c>
      <c r="C48" s="69">
        <f t="shared" si="1"/>
        <v>577</v>
      </c>
      <c r="D48" s="73">
        <v>9</v>
      </c>
      <c r="E48" s="195">
        <v>1</v>
      </c>
      <c r="F48" s="73"/>
      <c r="G48" s="195">
        <v>47</v>
      </c>
      <c r="H48" s="73">
        <v>7</v>
      </c>
      <c r="I48" s="73">
        <v>23</v>
      </c>
      <c r="J48" s="73">
        <v>206</v>
      </c>
      <c r="K48" s="73">
        <v>93</v>
      </c>
      <c r="L48" s="73">
        <v>66</v>
      </c>
      <c r="M48" s="73">
        <v>12</v>
      </c>
      <c r="N48" s="73">
        <v>84</v>
      </c>
      <c r="O48" s="73">
        <v>2</v>
      </c>
      <c r="P48" s="73">
        <v>1</v>
      </c>
      <c r="Q48" s="73">
        <v>3</v>
      </c>
      <c r="R48" s="73"/>
      <c r="S48" s="73"/>
      <c r="T48" s="73">
        <v>11</v>
      </c>
      <c r="U48" s="73">
        <v>3</v>
      </c>
      <c r="V48" s="73"/>
      <c r="W48" s="73">
        <v>2</v>
      </c>
      <c r="X48" s="73">
        <v>1</v>
      </c>
      <c r="Y48" s="73"/>
      <c r="Z48" s="73"/>
      <c r="AA48" s="72"/>
      <c r="AB48" s="73">
        <v>2</v>
      </c>
      <c r="AC48" s="73"/>
      <c r="AD48" s="72"/>
      <c r="AE48" s="72"/>
      <c r="AF48" s="72"/>
      <c r="AG48" s="72"/>
      <c r="AH48" s="72"/>
      <c r="AI48" s="72"/>
      <c r="AJ48" s="72"/>
      <c r="AK48" s="73">
        <v>1</v>
      </c>
      <c r="AL48" s="73">
        <v>1</v>
      </c>
      <c r="AM48" s="73"/>
      <c r="AN48" s="72"/>
      <c r="AO48" s="72"/>
      <c r="AP48" s="73">
        <v>2</v>
      </c>
      <c r="AQ48" s="75"/>
    </row>
    <row r="49" spans="1:43">
      <c r="A49" s="209"/>
      <c r="C49" s="69"/>
      <c r="D49" s="73"/>
      <c r="E49" s="194"/>
      <c r="F49" s="72"/>
      <c r="G49" s="195"/>
      <c r="H49" s="73"/>
      <c r="I49" s="73"/>
      <c r="J49" s="73"/>
      <c r="K49" s="73"/>
      <c r="L49" s="73"/>
      <c r="M49" s="73"/>
      <c r="N49" s="73"/>
      <c r="O49" s="72"/>
      <c r="P49" s="72"/>
      <c r="Q49" s="73"/>
      <c r="R49" s="72"/>
      <c r="S49" s="72"/>
      <c r="T49" s="73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5"/>
    </row>
  </sheetData>
  <mergeCells count="16">
    <mergeCell ref="A29:A48"/>
    <mergeCell ref="A11:A28"/>
    <mergeCell ref="A1:AQ1"/>
    <mergeCell ref="A6:AQ6"/>
    <mergeCell ref="AB7:AE7"/>
    <mergeCell ref="AF7:AH7"/>
    <mergeCell ref="AI7:AJ7"/>
    <mergeCell ref="AK7:AM7"/>
    <mergeCell ref="AN7:AP7"/>
    <mergeCell ref="A2:AQ2"/>
    <mergeCell ref="A3:AQ3"/>
    <mergeCell ref="A5:AQ5"/>
    <mergeCell ref="A7:A9"/>
    <mergeCell ref="D7:I7"/>
    <mergeCell ref="J7:V7"/>
    <mergeCell ref="X7:AA7"/>
  </mergeCells>
  <phoneticPr fontId="17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52"/>
  <sheetViews>
    <sheetView workbookViewId="0">
      <selection activeCell="D18" sqref="D18"/>
    </sheetView>
  </sheetViews>
  <sheetFormatPr defaultRowHeight="12"/>
  <cols>
    <col min="1" max="1" width="13.5703125" style="22" customWidth="1"/>
    <col min="2" max="2" width="13.7109375" style="22" customWidth="1"/>
    <col min="3" max="3" width="12.7109375" style="22" customWidth="1"/>
    <col min="4" max="4" width="13" style="22" customWidth="1"/>
    <col min="5" max="5" width="12.7109375" style="22" customWidth="1"/>
    <col min="6" max="6" width="26.28515625" style="22" customWidth="1"/>
    <col min="7" max="16384" width="9.140625" style="22"/>
  </cols>
  <sheetData>
    <row r="1" spans="1:14" ht="12.75" customHeight="1">
      <c r="A1" s="272" t="s">
        <v>148</v>
      </c>
      <c r="B1" s="273"/>
      <c r="C1" s="273"/>
      <c r="D1" s="273"/>
      <c r="E1" s="273"/>
      <c r="F1" s="273"/>
    </row>
    <row r="2" spans="1:14">
      <c r="A2" s="273"/>
      <c r="B2" s="273"/>
      <c r="C2" s="273"/>
      <c r="D2" s="273"/>
      <c r="E2" s="273"/>
      <c r="F2" s="273"/>
    </row>
    <row r="3" spans="1:14" ht="22.5" customHeight="1">
      <c r="A3" s="278" t="s">
        <v>99</v>
      </c>
      <c r="B3" s="278"/>
      <c r="C3" s="278"/>
      <c r="D3" s="278"/>
      <c r="E3" s="278"/>
      <c r="F3" s="278"/>
    </row>
    <row r="4" spans="1:14" ht="10.5" customHeight="1"/>
    <row r="5" spans="1:14">
      <c r="A5" s="274" t="s">
        <v>42</v>
      </c>
      <c r="B5" s="274"/>
      <c r="C5" s="274"/>
      <c r="D5" s="274"/>
      <c r="E5" s="274"/>
      <c r="F5" s="274"/>
    </row>
    <row r="6" spans="1:14" ht="21" customHeight="1">
      <c r="A6" s="274" t="s">
        <v>177</v>
      </c>
      <c r="B6" s="274"/>
      <c r="C6" s="274"/>
      <c r="D6" s="274"/>
      <c r="E6" s="274"/>
      <c r="F6" s="274"/>
    </row>
    <row r="8" spans="1:14">
      <c r="A8" s="279" t="s">
        <v>44</v>
      </c>
      <c r="B8" s="54" t="s">
        <v>89</v>
      </c>
      <c r="C8" s="55" t="s">
        <v>46</v>
      </c>
      <c r="D8" s="56" t="s">
        <v>90</v>
      </c>
      <c r="E8" s="57" t="s">
        <v>91</v>
      </c>
      <c r="F8" s="210"/>
    </row>
    <row r="9" spans="1:14">
      <c r="A9" s="281"/>
      <c r="B9" s="58" t="s">
        <v>94</v>
      </c>
      <c r="C9" s="59" t="s">
        <v>93</v>
      </c>
      <c r="D9" s="60" t="s">
        <v>93</v>
      </c>
      <c r="E9" s="61" t="s">
        <v>93</v>
      </c>
      <c r="L9" s="191"/>
      <c r="M9" s="191"/>
      <c r="N9" s="191"/>
    </row>
    <row r="10" spans="1:14">
      <c r="A10" s="68" t="s">
        <v>46</v>
      </c>
      <c r="B10" s="68"/>
      <c r="C10" s="69">
        <f>SUM(C11:C49)</f>
        <v>668568</v>
      </c>
      <c r="D10" s="69">
        <f>SUM(D11:D49)</f>
        <v>491289</v>
      </c>
      <c r="E10" s="69">
        <f>SUM(E11:E49)</f>
        <v>177279</v>
      </c>
      <c r="F10" s="69"/>
      <c r="H10" s="228"/>
      <c r="I10" s="228"/>
      <c r="J10" s="228"/>
      <c r="K10" s="228"/>
    </row>
    <row r="11" spans="1:14">
      <c r="A11" s="287" t="s">
        <v>150</v>
      </c>
      <c r="B11" s="71" t="s">
        <v>141</v>
      </c>
      <c r="C11" s="69">
        <f>SUM(D11:E11)</f>
        <v>1</v>
      </c>
      <c r="D11" s="225">
        <v>1</v>
      </c>
      <c r="E11" s="69"/>
      <c r="F11" s="69"/>
      <c r="H11" s="228"/>
      <c r="I11" s="228"/>
      <c r="J11" s="228"/>
      <c r="K11" s="228"/>
    </row>
    <row r="12" spans="1:14">
      <c r="A12" s="288"/>
      <c r="B12" s="71" t="s">
        <v>122</v>
      </c>
      <c r="C12" s="69">
        <f>SUM(D12:E12)</f>
        <v>321</v>
      </c>
      <c r="D12" s="225">
        <v>307</v>
      </c>
      <c r="E12" s="226">
        <v>14</v>
      </c>
      <c r="F12" s="69"/>
      <c r="H12" s="228"/>
      <c r="I12" s="228"/>
      <c r="J12" s="228"/>
      <c r="K12" s="229"/>
    </row>
    <row r="13" spans="1:14">
      <c r="A13" s="288"/>
      <c r="B13" s="71" t="s">
        <v>123</v>
      </c>
      <c r="C13" s="69">
        <f t="shared" ref="C13:C48" si="0">SUM(D13:E13)</f>
        <v>6538</v>
      </c>
      <c r="D13" s="73">
        <v>6171</v>
      </c>
      <c r="E13" s="74">
        <v>367</v>
      </c>
      <c r="F13" s="69"/>
      <c r="H13" s="228"/>
      <c r="I13" s="228"/>
      <c r="J13" s="228"/>
      <c r="K13" s="228"/>
    </row>
    <row r="14" spans="1:14">
      <c r="A14" s="288"/>
      <c r="B14" s="71" t="s">
        <v>124</v>
      </c>
      <c r="C14" s="69">
        <f t="shared" si="0"/>
        <v>16278</v>
      </c>
      <c r="D14" s="73">
        <v>15296</v>
      </c>
      <c r="E14" s="74">
        <v>982</v>
      </c>
      <c r="F14" s="69"/>
      <c r="H14" s="228"/>
      <c r="I14" s="228"/>
      <c r="J14" s="230"/>
      <c r="K14" s="230"/>
      <c r="L14" s="191"/>
      <c r="M14" s="191"/>
    </row>
    <row r="15" spans="1:14">
      <c r="A15" s="288"/>
      <c r="B15" s="71" t="s">
        <v>125</v>
      </c>
      <c r="C15" s="69">
        <f t="shared" si="0"/>
        <v>15422</v>
      </c>
      <c r="D15" s="73">
        <v>14433</v>
      </c>
      <c r="E15" s="74">
        <v>989</v>
      </c>
      <c r="F15" s="69"/>
      <c r="L15" s="191"/>
      <c r="M15" s="191"/>
    </row>
    <row r="16" spans="1:14">
      <c r="A16" s="288"/>
      <c r="B16" s="71" t="s">
        <v>126</v>
      </c>
      <c r="C16" s="69">
        <f t="shared" si="0"/>
        <v>15272</v>
      </c>
      <c r="D16" s="73">
        <v>14513</v>
      </c>
      <c r="E16" s="74">
        <v>759</v>
      </c>
      <c r="F16" s="69"/>
      <c r="J16" s="191"/>
      <c r="K16" s="191"/>
      <c r="L16" s="191"/>
      <c r="M16" s="191"/>
    </row>
    <row r="17" spans="1:13">
      <c r="A17" s="288"/>
      <c r="B17" s="71" t="s">
        <v>127</v>
      </c>
      <c r="C17" s="69">
        <f t="shared" si="0"/>
        <v>16409</v>
      </c>
      <c r="D17" s="73">
        <v>15518</v>
      </c>
      <c r="E17" s="74">
        <v>891</v>
      </c>
      <c r="F17" s="69"/>
      <c r="J17" s="191"/>
      <c r="K17" s="191"/>
      <c r="L17" s="191"/>
      <c r="M17" s="191"/>
    </row>
    <row r="18" spans="1:13">
      <c r="A18" s="288"/>
      <c r="B18" s="71" t="s">
        <v>128</v>
      </c>
      <c r="C18" s="69">
        <f t="shared" si="0"/>
        <v>18096</v>
      </c>
      <c r="D18" s="73">
        <v>17655</v>
      </c>
      <c r="E18" s="74">
        <v>441</v>
      </c>
      <c r="F18" s="69"/>
      <c r="J18" s="191"/>
      <c r="K18" s="191"/>
      <c r="L18" s="191"/>
      <c r="M18" s="191"/>
    </row>
    <row r="19" spans="1:13">
      <c r="A19" s="288"/>
      <c r="B19" s="71" t="s">
        <v>129</v>
      </c>
      <c r="C19" s="69">
        <f t="shared" si="0"/>
        <v>20953</v>
      </c>
      <c r="D19" s="73">
        <v>20529</v>
      </c>
      <c r="E19" s="74">
        <v>424</v>
      </c>
      <c r="F19" s="69"/>
      <c r="J19" s="191"/>
      <c r="K19" s="191"/>
      <c r="L19" s="191"/>
      <c r="M19" s="191"/>
    </row>
    <row r="20" spans="1:13">
      <c r="A20" s="288"/>
      <c r="B20" s="71" t="s">
        <v>130</v>
      </c>
      <c r="C20" s="69">
        <f t="shared" si="0"/>
        <v>22576</v>
      </c>
      <c r="D20" s="73">
        <v>22001</v>
      </c>
      <c r="E20" s="74">
        <v>575</v>
      </c>
      <c r="F20" s="69"/>
      <c r="J20" s="191"/>
      <c r="K20" s="191"/>
      <c r="L20" s="191"/>
      <c r="M20" s="191"/>
    </row>
    <row r="21" spans="1:13">
      <c r="A21" s="288"/>
      <c r="B21" s="71" t="s">
        <v>131</v>
      </c>
      <c r="C21" s="69">
        <f t="shared" si="0"/>
        <v>24608</v>
      </c>
      <c r="D21" s="73">
        <v>24100</v>
      </c>
      <c r="E21" s="74">
        <v>508</v>
      </c>
      <c r="F21" s="69"/>
      <c r="J21" s="191"/>
      <c r="K21" s="191"/>
      <c r="L21" s="191"/>
      <c r="M21" s="191"/>
    </row>
    <row r="22" spans="1:13">
      <c r="A22" s="288"/>
      <c r="B22" s="71" t="s">
        <v>132</v>
      </c>
      <c r="C22" s="69">
        <f t="shared" si="0"/>
        <v>24939</v>
      </c>
      <c r="D22" s="73">
        <v>24709</v>
      </c>
      <c r="E22" s="74">
        <v>230</v>
      </c>
      <c r="F22" s="69"/>
      <c r="J22" s="191"/>
      <c r="K22" s="191"/>
      <c r="L22" s="191"/>
      <c r="M22" s="191"/>
    </row>
    <row r="23" spans="1:13">
      <c r="A23" s="288"/>
      <c r="B23" s="71" t="s">
        <v>133</v>
      </c>
      <c r="C23" s="69">
        <f t="shared" si="0"/>
        <v>103524</v>
      </c>
      <c r="D23" s="73">
        <v>103301</v>
      </c>
      <c r="E23" s="74">
        <v>223</v>
      </c>
      <c r="F23" s="69"/>
      <c r="J23" s="191"/>
      <c r="K23" s="191"/>
      <c r="L23" s="191"/>
      <c r="M23" s="191"/>
    </row>
    <row r="24" spans="1:13">
      <c r="A24" s="288"/>
      <c r="B24" s="71" t="s">
        <v>134</v>
      </c>
      <c r="C24" s="69">
        <f t="shared" si="0"/>
        <v>67410</v>
      </c>
      <c r="D24" s="73">
        <v>67251</v>
      </c>
      <c r="E24" s="74">
        <v>159</v>
      </c>
      <c r="F24" s="69"/>
      <c r="I24" s="227"/>
      <c r="J24" s="191"/>
      <c r="K24" s="191"/>
      <c r="L24" s="191"/>
      <c r="M24" s="191"/>
    </row>
    <row r="25" spans="1:13">
      <c r="A25" s="288"/>
      <c r="B25" s="71" t="s">
        <v>135</v>
      </c>
      <c r="C25" s="69">
        <f t="shared" si="0"/>
        <v>11518</v>
      </c>
      <c r="D25" s="73">
        <v>11286</v>
      </c>
      <c r="E25" s="74">
        <v>232</v>
      </c>
      <c r="F25" s="69"/>
      <c r="G25" s="227"/>
      <c r="H25" s="227"/>
      <c r="I25" s="227"/>
      <c r="J25" s="191"/>
      <c r="K25" s="191"/>
      <c r="L25" s="191"/>
      <c r="M25" s="191"/>
    </row>
    <row r="26" spans="1:13">
      <c r="A26" s="288"/>
      <c r="B26" s="71" t="s">
        <v>136</v>
      </c>
      <c r="C26" s="69">
        <f t="shared" si="0"/>
        <v>17350</v>
      </c>
      <c r="D26" s="73">
        <v>16805</v>
      </c>
      <c r="E26" s="74">
        <v>545</v>
      </c>
      <c r="F26" s="69"/>
      <c r="G26" s="227"/>
      <c r="H26" s="227"/>
      <c r="I26" s="227"/>
      <c r="J26" s="191"/>
      <c r="K26" s="191"/>
      <c r="L26" s="191"/>
      <c r="M26" s="191"/>
    </row>
    <row r="27" spans="1:13">
      <c r="A27" s="288"/>
      <c r="B27" s="71" t="s">
        <v>137</v>
      </c>
      <c r="C27" s="69">
        <f t="shared" si="0"/>
        <v>8230</v>
      </c>
      <c r="D27" s="73">
        <v>8072</v>
      </c>
      <c r="E27" s="74">
        <v>158</v>
      </c>
      <c r="F27" s="69"/>
      <c r="G27" s="227"/>
      <c r="H27" s="227"/>
      <c r="I27" s="227"/>
      <c r="J27" s="191"/>
      <c r="K27" s="191"/>
      <c r="L27" s="191"/>
      <c r="M27" s="191"/>
    </row>
    <row r="28" spans="1:13">
      <c r="A28" s="288"/>
      <c r="B28" s="71" t="s">
        <v>138</v>
      </c>
      <c r="C28" s="69">
        <f t="shared" si="0"/>
        <v>623</v>
      </c>
      <c r="D28" s="73">
        <v>617</v>
      </c>
      <c r="E28" s="74">
        <v>6</v>
      </c>
      <c r="F28" s="69"/>
      <c r="G28" s="227"/>
      <c r="H28" s="227"/>
      <c r="I28" s="227"/>
      <c r="J28" s="191"/>
      <c r="K28" s="191"/>
      <c r="L28" s="191"/>
      <c r="M28" s="191"/>
    </row>
    <row r="29" spans="1:13">
      <c r="A29" s="284" t="s">
        <v>19</v>
      </c>
      <c r="B29" s="71" t="s">
        <v>139</v>
      </c>
      <c r="C29" s="69">
        <f t="shared" si="0"/>
        <v>2</v>
      </c>
      <c r="D29" s="73">
        <v>2</v>
      </c>
      <c r="E29" s="75"/>
      <c r="F29" s="69"/>
      <c r="G29" s="227"/>
      <c r="H29" s="227"/>
      <c r="I29" s="227"/>
      <c r="J29" s="191"/>
      <c r="K29" s="191"/>
    </row>
    <row r="30" spans="1:13">
      <c r="A30" s="284"/>
      <c r="B30" s="71" t="s">
        <v>140</v>
      </c>
      <c r="C30" s="69">
        <f t="shared" si="0"/>
        <v>20</v>
      </c>
      <c r="D30" s="73">
        <v>10</v>
      </c>
      <c r="E30" s="74">
        <v>10</v>
      </c>
      <c r="F30" s="69"/>
      <c r="J30" s="191"/>
      <c r="K30" s="191"/>
    </row>
    <row r="31" spans="1:13">
      <c r="A31" s="284"/>
      <c r="B31" s="71" t="s">
        <v>141</v>
      </c>
      <c r="C31" s="69">
        <f t="shared" si="0"/>
        <v>26</v>
      </c>
      <c r="D31" s="73">
        <v>18</v>
      </c>
      <c r="E31" s="75">
        <v>8</v>
      </c>
      <c r="F31" s="69"/>
    </row>
    <row r="32" spans="1:13">
      <c r="A32" s="284"/>
      <c r="B32" s="71" t="s">
        <v>122</v>
      </c>
      <c r="C32" s="69">
        <f t="shared" si="0"/>
        <v>68</v>
      </c>
      <c r="D32" s="73">
        <v>40</v>
      </c>
      <c r="E32" s="74">
        <v>28</v>
      </c>
      <c r="F32" s="69"/>
    </row>
    <row r="33" spans="1:14">
      <c r="A33" s="284"/>
      <c r="B33" s="71" t="s">
        <v>123</v>
      </c>
      <c r="C33" s="69">
        <f t="shared" si="0"/>
        <v>111</v>
      </c>
      <c r="D33" s="73">
        <v>66</v>
      </c>
      <c r="E33" s="74">
        <v>45</v>
      </c>
      <c r="F33" s="69"/>
    </row>
    <row r="34" spans="1:14">
      <c r="A34" s="284"/>
      <c r="B34" s="71" t="s">
        <v>124</v>
      </c>
      <c r="C34" s="69">
        <f t="shared" si="0"/>
        <v>318</v>
      </c>
      <c r="D34" s="73">
        <v>175</v>
      </c>
      <c r="E34" s="74">
        <v>143</v>
      </c>
      <c r="F34" s="69"/>
    </row>
    <row r="35" spans="1:14">
      <c r="A35" s="284"/>
      <c r="B35" s="71" t="s">
        <v>125</v>
      </c>
      <c r="C35" s="69">
        <f t="shared" si="0"/>
        <v>514</v>
      </c>
      <c r="D35" s="73">
        <v>279</v>
      </c>
      <c r="E35" s="74">
        <v>235</v>
      </c>
      <c r="F35" s="69"/>
    </row>
    <row r="36" spans="1:14">
      <c r="A36" s="284"/>
      <c r="B36" s="71" t="s">
        <v>126</v>
      </c>
      <c r="C36" s="69">
        <f t="shared" si="0"/>
        <v>1470</v>
      </c>
      <c r="D36" s="73">
        <v>841</v>
      </c>
      <c r="E36" s="74">
        <v>629</v>
      </c>
      <c r="F36" s="69"/>
    </row>
    <row r="37" spans="1:14">
      <c r="A37" s="284"/>
      <c r="B37" s="71" t="s">
        <v>127</v>
      </c>
      <c r="C37" s="69">
        <f t="shared" si="0"/>
        <v>3800</v>
      </c>
      <c r="D37" s="73">
        <v>2328</v>
      </c>
      <c r="E37" s="74">
        <v>1472</v>
      </c>
      <c r="F37" s="69"/>
    </row>
    <row r="38" spans="1:14">
      <c r="A38" s="284"/>
      <c r="B38" s="71" t="s">
        <v>128</v>
      </c>
      <c r="C38" s="69">
        <f t="shared" si="0"/>
        <v>8323</v>
      </c>
      <c r="D38" s="73">
        <v>5245</v>
      </c>
      <c r="E38" s="74">
        <v>3078</v>
      </c>
      <c r="F38" s="69"/>
    </row>
    <row r="39" spans="1:14">
      <c r="A39" s="284"/>
      <c r="B39" s="71" t="s">
        <v>129</v>
      </c>
      <c r="C39" s="69">
        <f t="shared" si="0"/>
        <v>13788</v>
      </c>
      <c r="D39" s="73">
        <v>8986</v>
      </c>
      <c r="E39" s="74">
        <v>4802</v>
      </c>
      <c r="F39" s="69"/>
      <c r="L39" s="191"/>
      <c r="M39" s="191"/>
    </row>
    <row r="40" spans="1:14">
      <c r="A40" s="284"/>
      <c r="B40" s="71" t="s">
        <v>130</v>
      </c>
      <c r="C40" s="69">
        <f t="shared" si="0"/>
        <v>23451</v>
      </c>
      <c r="D40" s="73">
        <v>15513</v>
      </c>
      <c r="E40" s="74">
        <v>7938</v>
      </c>
      <c r="F40" s="69"/>
      <c r="J40" s="191"/>
      <c r="L40" s="191"/>
      <c r="M40" s="191"/>
      <c r="N40" s="191"/>
    </row>
    <row r="41" spans="1:14">
      <c r="A41" s="284"/>
      <c r="B41" s="71" t="s">
        <v>131</v>
      </c>
      <c r="C41" s="69">
        <f t="shared" si="0"/>
        <v>45450</v>
      </c>
      <c r="D41" s="73">
        <v>27378</v>
      </c>
      <c r="E41" s="74">
        <v>18072</v>
      </c>
      <c r="F41" s="69"/>
      <c r="J41" s="191"/>
      <c r="K41" s="191"/>
      <c r="L41" s="191"/>
      <c r="M41" s="191"/>
      <c r="N41" s="191"/>
    </row>
    <row r="42" spans="1:14">
      <c r="A42" s="284"/>
      <c r="B42" s="71" t="s">
        <v>132</v>
      </c>
      <c r="C42" s="69">
        <f t="shared" si="0"/>
        <v>51391</v>
      </c>
      <c r="D42" s="73">
        <v>22380</v>
      </c>
      <c r="E42" s="74">
        <v>29011</v>
      </c>
      <c r="F42" s="69"/>
      <c r="J42" s="191"/>
      <c r="K42" s="191"/>
      <c r="L42" s="191"/>
      <c r="M42" s="191"/>
      <c r="N42" s="191"/>
    </row>
    <row r="43" spans="1:14">
      <c r="A43" s="284"/>
      <c r="B43" s="71" t="s">
        <v>133</v>
      </c>
      <c r="C43" s="69">
        <f t="shared" si="0"/>
        <v>51066</v>
      </c>
      <c r="D43" s="73">
        <v>17388</v>
      </c>
      <c r="E43" s="74">
        <v>33678</v>
      </c>
      <c r="F43" s="69"/>
      <c r="J43" s="191"/>
      <c r="K43" s="191"/>
      <c r="L43" s="191"/>
      <c r="M43" s="191"/>
      <c r="N43" s="191"/>
    </row>
    <row r="44" spans="1:14">
      <c r="A44" s="284"/>
      <c r="B44" s="71" t="s">
        <v>134</v>
      </c>
      <c r="C44" s="69">
        <f t="shared" si="0"/>
        <v>22959</v>
      </c>
      <c r="D44" s="73">
        <v>5077</v>
      </c>
      <c r="E44" s="74">
        <v>17882</v>
      </c>
      <c r="F44" s="69"/>
      <c r="J44" s="191"/>
      <c r="K44" s="191"/>
      <c r="L44" s="191"/>
      <c r="M44" s="191"/>
      <c r="N44" s="191"/>
    </row>
    <row r="45" spans="1:14">
      <c r="A45" s="284"/>
      <c r="B45" s="71" t="s">
        <v>135</v>
      </c>
      <c r="C45" s="69">
        <f t="shared" si="0"/>
        <v>26173</v>
      </c>
      <c r="D45" s="73">
        <v>2070</v>
      </c>
      <c r="E45" s="74">
        <v>24103</v>
      </c>
      <c r="F45" s="69"/>
      <c r="J45" s="191"/>
      <c r="K45" s="191"/>
      <c r="L45" s="191"/>
      <c r="M45" s="191"/>
      <c r="N45" s="191"/>
    </row>
    <row r="46" spans="1:14">
      <c r="A46" s="284"/>
      <c r="B46" s="71" t="s">
        <v>136</v>
      </c>
      <c r="C46" s="69">
        <f t="shared" si="0"/>
        <v>24201</v>
      </c>
      <c r="D46" s="73">
        <v>746</v>
      </c>
      <c r="E46" s="74">
        <v>23455</v>
      </c>
      <c r="F46" s="69"/>
      <c r="J46" s="191"/>
      <c r="K46" s="191"/>
      <c r="L46" s="191"/>
      <c r="M46" s="191"/>
      <c r="N46" s="191"/>
    </row>
    <row r="47" spans="1:14">
      <c r="A47" s="284"/>
      <c r="B47" s="71" t="s">
        <v>137</v>
      </c>
      <c r="C47" s="69">
        <f t="shared" si="0"/>
        <v>4806</v>
      </c>
      <c r="D47" s="73">
        <v>127</v>
      </c>
      <c r="E47" s="74">
        <v>4679</v>
      </c>
      <c r="F47" s="69"/>
      <c r="J47" s="191"/>
      <c r="K47" s="191"/>
      <c r="L47" s="191"/>
      <c r="M47" s="191"/>
      <c r="N47" s="191"/>
    </row>
    <row r="48" spans="1:14">
      <c r="A48" s="284"/>
      <c r="B48" s="71" t="s">
        <v>138</v>
      </c>
      <c r="C48" s="69">
        <f t="shared" si="0"/>
        <v>563</v>
      </c>
      <c r="D48" s="73">
        <v>55</v>
      </c>
      <c r="E48" s="74">
        <v>508</v>
      </c>
      <c r="F48" s="69"/>
      <c r="J48" s="191"/>
      <c r="K48" s="191"/>
      <c r="L48" s="191"/>
      <c r="M48" s="191"/>
      <c r="N48" s="191"/>
    </row>
    <row r="49" spans="1:14">
      <c r="A49" s="208"/>
      <c r="B49" s="71"/>
      <c r="C49" s="69"/>
      <c r="D49" s="73"/>
      <c r="E49" s="74"/>
      <c r="F49" s="69"/>
      <c r="J49" s="191"/>
      <c r="K49" s="191"/>
      <c r="L49" s="191"/>
      <c r="M49" s="191"/>
      <c r="N49" s="191"/>
    </row>
    <row r="50" spans="1:14">
      <c r="A50" s="208"/>
      <c r="C50" s="69"/>
      <c r="D50" s="73"/>
      <c r="E50" s="74"/>
      <c r="F50" s="69"/>
      <c r="J50" s="191"/>
      <c r="K50" s="191"/>
      <c r="L50" s="191"/>
      <c r="M50" s="191"/>
      <c r="N50" s="191"/>
    </row>
    <row r="51" spans="1:14">
      <c r="A51" s="209"/>
      <c r="F51" s="69"/>
      <c r="J51" s="191"/>
      <c r="L51" s="191"/>
    </row>
    <row r="52" spans="1:14">
      <c r="F52" s="69"/>
      <c r="J52" s="191"/>
      <c r="L52" s="191"/>
    </row>
  </sheetData>
  <mergeCells count="8">
    <mergeCell ref="A8:A9"/>
    <mergeCell ref="A29:A48"/>
    <mergeCell ref="A1:F1"/>
    <mergeCell ref="A6:F6"/>
    <mergeCell ref="A2:F2"/>
    <mergeCell ref="A3:F3"/>
    <mergeCell ref="A5:F5"/>
    <mergeCell ref="A11:A28"/>
  </mergeCells>
  <phoneticPr fontId="17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66"/>
  <sheetViews>
    <sheetView showGridLines="0" zoomScale="85" zoomScaleNormal="85" workbookViewId="0">
      <selection activeCell="D11" sqref="D11"/>
    </sheetView>
  </sheetViews>
  <sheetFormatPr defaultColWidth="1.7109375" defaultRowHeight="17.100000000000001" customHeight="1"/>
  <cols>
    <col min="1" max="1" width="2.28515625" style="10" customWidth="1"/>
    <col min="2" max="2" width="2.28515625" style="20" customWidth="1"/>
    <col min="3" max="3" width="29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2.28515625" style="10" customWidth="1"/>
    <col min="8" max="255" width="9.140625" style="9" customWidth="1"/>
    <col min="256" max="16384" width="1.7109375" style="9"/>
  </cols>
  <sheetData>
    <row r="1" spans="2:7" s="1" customFormat="1" ht="21.95" customHeight="1">
      <c r="B1" s="249" t="s">
        <v>105</v>
      </c>
      <c r="C1" s="249"/>
      <c r="D1" s="249"/>
      <c r="E1" s="249"/>
      <c r="F1" s="249"/>
      <c r="G1" s="249"/>
    </row>
    <row r="2" spans="2:7" s="2" customFormat="1" ht="15" customHeight="1">
      <c r="B2" s="250" t="s">
        <v>178</v>
      </c>
      <c r="C2" s="250"/>
      <c r="D2" s="250"/>
      <c r="E2" s="250"/>
      <c r="F2" s="250"/>
      <c r="G2" s="250"/>
    </row>
    <row r="3" spans="2:7" s="4" customFormat="1" ht="11.1" customHeight="1" thickBot="1">
      <c r="B3" s="77"/>
      <c r="C3" s="78"/>
      <c r="D3" s="79"/>
      <c r="E3" s="80"/>
      <c r="F3" s="81" t="s">
        <v>54</v>
      </c>
      <c r="G3" s="81"/>
    </row>
    <row r="4" spans="2:7" s="6" customFormat="1" ht="15.6" customHeight="1">
      <c r="B4" s="82"/>
      <c r="C4" s="83" t="s">
        <v>95</v>
      </c>
      <c r="D4" s="84" t="s">
        <v>55</v>
      </c>
      <c r="E4" s="84" t="s">
        <v>56</v>
      </c>
      <c r="F4" s="84" t="s">
        <v>57</v>
      </c>
      <c r="G4" s="85"/>
    </row>
    <row r="5" spans="2:7" s="7" customFormat="1" ht="20.100000000000001" customHeight="1">
      <c r="B5" s="86"/>
      <c r="C5" s="87" t="s">
        <v>106</v>
      </c>
      <c r="D5" s="199">
        <f>SUM(D7,D11,D15,D21,D22,D23,D24,D28,D31,D32,D33,D38,D43,D47,D48,D49,D53,D57)</f>
        <v>135445</v>
      </c>
      <c r="E5" s="199">
        <f t="shared" ref="E5:F5" si="0">SUM(E7,E11,E15,E21,E22,E23,E24,E28,E31,E32,E33,E38,E43,E47,E48,E49,E53,E57)</f>
        <v>85853</v>
      </c>
      <c r="F5" s="199">
        <f t="shared" si="0"/>
        <v>49592</v>
      </c>
      <c r="G5" s="89"/>
    </row>
    <row r="6" spans="2:7" s="8" customFormat="1" ht="15" customHeight="1" thickBot="1">
      <c r="B6" s="90"/>
      <c r="C6" s="91" t="s">
        <v>107</v>
      </c>
      <c r="D6" s="197">
        <v>-10333</v>
      </c>
      <c r="E6" s="197">
        <v>-5110</v>
      </c>
      <c r="F6" s="197">
        <v>-5223</v>
      </c>
      <c r="G6" s="93"/>
    </row>
    <row r="7" spans="2:7" ht="15.6" customHeight="1" thickTop="1">
      <c r="B7" s="94"/>
      <c r="C7" s="94" t="s">
        <v>108</v>
      </c>
      <c r="D7" s="231">
        <v>226</v>
      </c>
      <c r="E7" s="231">
        <v>0</v>
      </c>
      <c r="F7" s="231">
        <v>226</v>
      </c>
      <c r="G7" s="96"/>
    </row>
    <row r="8" spans="2:7" ht="15.6" customHeight="1">
      <c r="B8" s="97"/>
      <c r="C8" s="97" t="s">
        <v>0</v>
      </c>
      <c r="D8" s="232">
        <v>204</v>
      </c>
      <c r="E8" s="232">
        <v>0</v>
      </c>
      <c r="F8" s="232">
        <v>204</v>
      </c>
      <c r="G8" s="99"/>
    </row>
    <row r="9" spans="2:7" ht="15.6" customHeight="1">
      <c r="B9" s="97"/>
      <c r="C9" s="97" t="s">
        <v>1</v>
      </c>
      <c r="D9" s="232">
        <v>11</v>
      </c>
      <c r="E9" s="232">
        <v>0</v>
      </c>
      <c r="F9" s="232">
        <v>11</v>
      </c>
      <c r="G9" s="99"/>
    </row>
    <row r="10" spans="2:7" ht="15.6" customHeight="1">
      <c r="B10" s="97"/>
      <c r="C10" s="97" t="s">
        <v>2</v>
      </c>
      <c r="D10" s="232">
        <v>11</v>
      </c>
      <c r="E10" s="232">
        <v>0</v>
      </c>
      <c r="F10" s="232">
        <v>11</v>
      </c>
      <c r="G10" s="100"/>
    </row>
    <row r="11" spans="2:7" ht="15.6" customHeight="1">
      <c r="B11" s="101"/>
      <c r="C11" s="101" t="s">
        <v>3</v>
      </c>
      <c r="D11" s="233">
        <v>2052</v>
      </c>
      <c r="E11" s="234">
        <v>1</v>
      </c>
      <c r="F11" s="235">
        <v>2051</v>
      </c>
      <c r="G11" s="104"/>
    </row>
    <row r="12" spans="2:7" ht="15.6" customHeight="1">
      <c r="B12" s="97"/>
      <c r="C12" s="97" t="s">
        <v>0</v>
      </c>
      <c r="D12" s="236">
        <v>1222</v>
      </c>
      <c r="E12" s="232">
        <v>1</v>
      </c>
      <c r="F12" s="236">
        <v>1221</v>
      </c>
      <c r="G12" s="99"/>
    </row>
    <row r="13" spans="2:7" ht="15.6" customHeight="1">
      <c r="B13" s="97"/>
      <c r="C13" s="97" t="s">
        <v>1</v>
      </c>
      <c r="D13" s="232">
        <v>212</v>
      </c>
      <c r="E13" s="232">
        <v>0</v>
      </c>
      <c r="F13" s="232">
        <v>212</v>
      </c>
      <c r="G13" s="99"/>
    </row>
    <row r="14" spans="2:7" ht="15.6" customHeight="1">
      <c r="B14" s="105"/>
      <c r="C14" s="105" t="s">
        <v>2</v>
      </c>
      <c r="D14" s="232">
        <v>618</v>
      </c>
      <c r="E14" s="232">
        <v>0</v>
      </c>
      <c r="F14" s="232">
        <v>618</v>
      </c>
      <c r="G14" s="106"/>
    </row>
    <row r="15" spans="2:7" ht="15.6" customHeight="1">
      <c r="B15" s="107"/>
      <c r="C15" s="107" t="s">
        <v>109</v>
      </c>
      <c r="D15" s="237">
        <v>43712</v>
      </c>
      <c r="E15" s="238">
        <v>16586</v>
      </c>
      <c r="F15" s="238">
        <v>27126</v>
      </c>
      <c r="G15" s="110"/>
    </row>
    <row r="16" spans="2:7" ht="15.6" customHeight="1">
      <c r="B16" s="97"/>
      <c r="C16" s="97" t="s">
        <v>4</v>
      </c>
      <c r="D16" s="236">
        <v>5690</v>
      </c>
      <c r="E16" s="232">
        <v>0</v>
      </c>
      <c r="F16" s="236">
        <v>5690</v>
      </c>
      <c r="G16" s="99"/>
    </row>
    <row r="17" spans="1:7" ht="15.6" customHeight="1">
      <c r="B17" s="97"/>
      <c r="C17" s="97" t="s">
        <v>5</v>
      </c>
      <c r="D17" s="236">
        <v>25191</v>
      </c>
      <c r="E17" s="236">
        <v>9155</v>
      </c>
      <c r="F17" s="236">
        <v>16036</v>
      </c>
      <c r="G17" s="99"/>
    </row>
    <row r="18" spans="1:7" ht="15.6" customHeight="1">
      <c r="B18" s="97"/>
      <c r="C18" s="97" t="s">
        <v>6</v>
      </c>
      <c r="D18" s="236">
        <v>2475</v>
      </c>
      <c r="E18" s="232">
        <v>0</v>
      </c>
      <c r="F18" s="236">
        <v>2475</v>
      </c>
      <c r="G18" s="99"/>
    </row>
    <row r="19" spans="1:7" ht="15.6" customHeight="1">
      <c r="B19" s="97"/>
      <c r="C19" s="97" t="s">
        <v>7</v>
      </c>
      <c r="D19" s="236">
        <v>10356</v>
      </c>
      <c r="E19" s="236">
        <v>7431</v>
      </c>
      <c r="F19" s="236">
        <v>2925</v>
      </c>
      <c r="G19" s="99"/>
    </row>
    <row r="20" spans="1:7" s="12" customFormat="1" ht="12">
      <c r="A20" s="11"/>
      <c r="B20" s="111"/>
      <c r="C20" s="111" t="s">
        <v>110</v>
      </c>
      <c r="D20" s="198">
        <v>-10333</v>
      </c>
      <c r="E20" s="198">
        <v>-5110</v>
      </c>
      <c r="F20" s="198">
        <v>-5223</v>
      </c>
      <c r="G20" s="113"/>
    </row>
    <row r="21" spans="1:7" ht="15.6" customHeight="1">
      <c r="B21" s="114"/>
      <c r="C21" s="114" t="s">
        <v>8</v>
      </c>
      <c r="D21" s="239">
        <v>17693</v>
      </c>
      <c r="E21" s="239">
        <v>2206</v>
      </c>
      <c r="F21" s="239">
        <v>15487</v>
      </c>
      <c r="G21" s="116"/>
    </row>
    <row r="22" spans="1:7" ht="15.6" customHeight="1">
      <c r="B22" s="114"/>
      <c r="C22" s="114" t="s">
        <v>9</v>
      </c>
      <c r="D22" s="239">
        <v>8034</v>
      </c>
      <c r="E22" s="239">
        <v>6247</v>
      </c>
      <c r="F22" s="239">
        <v>1787</v>
      </c>
      <c r="G22" s="116"/>
    </row>
    <row r="23" spans="1:7" ht="15.6" customHeight="1">
      <c r="B23" s="114"/>
      <c r="C23" s="114" t="s">
        <v>26</v>
      </c>
      <c r="D23" s="240">
        <v>52</v>
      </c>
      <c r="E23" s="240">
        <v>1</v>
      </c>
      <c r="F23" s="240">
        <v>51</v>
      </c>
      <c r="G23" s="116"/>
    </row>
    <row r="24" spans="1:7" ht="15.6" customHeight="1">
      <c r="B24" s="107"/>
      <c r="C24" s="107" t="s">
        <v>10</v>
      </c>
      <c r="D24" s="241">
        <v>357</v>
      </c>
      <c r="E24" s="242">
        <v>144</v>
      </c>
      <c r="F24" s="242">
        <v>213</v>
      </c>
      <c r="G24" s="110"/>
    </row>
    <row r="25" spans="1:7" ht="15.6" customHeight="1">
      <c r="A25" s="13"/>
      <c r="B25" s="117"/>
      <c r="C25" s="117" t="s">
        <v>111</v>
      </c>
      <c r="D25" s="232">
        <v>10</v>
      </c>
      <c r="E25" s="232">
        <v>0</v>
      </c>
      <c r="F25" s="232">
        <v>10</v>
      </c>
      <c r="G25" s="99"/>
    </row>
    <row r="26" spans="1:7" ht="15.6" customHeight="1">
      <c r="A26" s="13"/>
      <c r="B26" s="117"/>
      <c r="C26" s="117" t="s">
        <v>112</v>
      </c>
      <c r="D26" s="232">
        <v>110</v>
      </c>
      <c r="E26" s="232">
        <v>29</v>
      </c>
      <c r="F26" s="232">
        <v>81</v>
      </c>
      <c r="G26" s="99"/>
    </row>
    <row r="27" spans="1:7" ht="15.6" customHeight="1">
      <c r="A27" s="13"/>
      <c r="B27" s="118"/>
      <c r="C27" s="118" t="s">
        <v>113</v>
      </c>
      <c r="D27" s="232">
        <v>237</v>
      </c>
      <c r="E27" s="232">
        <v>115</v>
      </c>
      <c r="F27" s="232">
        <v>122</v>
      </c>
      <c r="G27" s="106"/>
    </row>
    <row r="28" spans="1:7" ht="15.6" customHeight="1">
      <c r="B28" s="107"/>
      <c r="C28" s="107" t="s">
        <v>167</v>
      </c>
      <c r="D28" s="237">
        <v>2105</v>
      </c>
      <c r="E28" s="242">
        <v>304</v>
      </c>
      <c r="F28" s="238">
        <v>1801</v>
      </c>
      <c r="G28" s="110"/>
    </row>
    <row r="29" spans="1:7" ht="15.6" customHeight="1">
      <c r="B29" s="117"/>
      <c r="C29" s="117" t="s">
        <v>11</v>
      </c>
      <c r="D29" s="236">
        <v>1420</v>
      </c>
      <c r="E29" s="232">
        <v>0</v>
      </c>
      <c r="F29" s="236">
        <v>1420</v>
      </c>
      <c r="G29" s="99"/>
    </row>
    <row r="30" spans="1:7" ht="15.6" customHeight="1">
      <c r="B30" s="119"/>
      <c r="C30" s="119" t="s">
        <v>12</v>
      </c>
      <c r="D30" s="232">
        <v>685</v>
      </c>
      <c r="E30" s="232">
        <v>304</v>
      </c>
      <c r="F30" s="232">
        <v>381</v>
      </c>
      <c r="G30" s="106"/>
    </row>
    <row r="31" spans="1:7" ht="15.6" customHeight="1">
      <c r="B31" s="120"/>
      <c r="C31" s="120" t="s">
        <v>30</v>
      </c>
      <c r="D31" s="240">
        <v>9</v>
      </c>
      <c r="E31" s="240">
        <v>0</v>
      </c>
      <c r="F31" s="240">
        <v>9</v>
      </c>
      <c r="G31" s="116"/>
    </row>
    <row r="32" spans="1:7" ht="15.6" customHeight="1">
      <c r="B32" s="120"/>
      <c r="C32" s="120" t="s">
        <v>13</v>
      </c>
      <c r="D32" s="240">
        <v>80</v>
      </c>
      <c r="E32" s="240">
        <v>5</v>
      </c>
      <c r="F32" s="240">
        <v>75</v>
      </c>
      <c r="G32" s="116"/>
    </row>
    <row r="33" spans="1:7" ht="15.6" customHeight="1">
      <c r="A33" s="13"/>
      <c r="B33" s="107"/>
      <c r="C33" s="107" t="s">
        <v>14</v>
      </c>
      <c r="D33" s="241">
        <v>379</v>
      </c>
      <c r="E33" s="242">
        <v>301</v>
      </c>
      <c r="F33" s="242">
        <v>78</v>
      </c>
      <c r="G33" s="110"/>
    </row>
    <row r="34" spans="1:7" ht="15.6" customHeight="1">
      <c r="B34" s="117"/>
      <c r="C34" s="117" t="s">
        <v>32</v>
      </c>
      <c r="D34" s="232">
        <v>26</v>
      </c>
      <c r="E34" s="232">
        <v>0</v>
      </c>
      <c r="F34" s="232">
        <v>26</v>
      </c>
      <c r="G34" s="99"/>
    </row>
    <row r="35" spans="1:7" ht="15.6" customHeight="1">
      <c r="B35" s="117"/>
      <c r="C35" s="117" t="s">
        <v>33</v>
      </c>
      <c r="D35" s="232">
        <v>272</v>
      </c>
      <c r="E35" s="232">
        <v>258</v>
      </c>
      <c r="F35" s="232">
        <v>14</v>
      </c>
      <c r="G35" s="99"/>
    </row>
    <row r="36" spans="1:7" ht="15.6" customHeight="1">
      <c r="B36" s="117"/>
      <c r="C36" s="117" t="s">
        <v>34</v>
      </c>
      <c r="D36" s="232">
        <v>30</v>
      </c>
      <c r="E36" s="232">
        <v>0</v>
      </c>
      <c r="F36" s="232">
        <v>30</v>
      </c>
      <c r="G36" s="99"/>
    </row>
    <row r="37" spans="1:7" ht="15.6" customHeight="1">
      <c r="B37" s="118"/>
      <c r="C37" s="118" t="s">
        <v>35</v>
      </c>
      <c r="D37" s="232">
        <v>51</v>
      </c>
      <c r="E37" s="232">
        <v>43</v>
      </c>
      <c r="F37" s="232">
        <v>8</v>
      </c>
      <c r="G37" s="106"/>
    </row>
    <row r="38" spans="1:7" ht="15.6" customHeight="1">
      <c r="A38" s="13"/>
      <c r="B38" s="107"/>
      <c r="C38" s="107" t="s">
        <v>114</v>
      </c>
      <c r="D38" s="237">
        <v>1552</v>
      </c>
      <c r="E38" s="238">
        <v>1177</v>
      </c>
      <c r="F38" s="242">
        <v>375</v>
      </c>
      <c r="G38" s="110"/>
    </row>
    <row r="39" spans="1:7" ht="15.6" customHeight="1">
      <c r="B39" s="121"/>
      <c r="C39" s="121" t="s">
        <v>115</v>
      </c>
      <c r="D39" s="232">
        <v>252</v>
      </c>
      <c r="E39" s="232">
        <v>0</v>
      </c>
      <c r="F39" s="232">
        <v>252</v>
      </c>
      <c r="G39" s="123"/>
    </row>
    <row r="40" spans="1:7" ht="15.6" customHeight="1">
      <c r="B40" s="117"/>
      <c r="C40" s="117" t="s">
        <v>49</v>
      </c>
      <c r="D40" s="236">
        <v>1247</v>
      </c>
      <c r="E40" s="236">
        <v>1157</v>
      </c>
      <c r="F40" s="232">
        <v>90</v>
      </c>
      <c r="G40" s="99"/>
    </row>
    <row r="41" spans="1:7" ht="15.6" customHeight="1">
      <c r="B41" s="117"/>
      <c r="C41" s="117" t="s">
        <v>116</v>
      </c>
      <c r="D41" s="232">
        <v>32</v>
      </c>
      <c r="E41" s="232">
        <v>0</v>
      </c>
      <c r="F41" s="232">
        <v>32</v>
      </c>
      <c r="G41" s="99"/>
    </row>
    <row r="42" spans="1:7" ht="15.6" customHeight="1">
      <c r="B42" s="118"/>
      <c r="C42" s="118" t="s">
        <v>51</v>
      </c>
      <c r="D42" s="232">
        <v>21</v>
      </c>
      <c r="E42" s="232">
        <v>20</v>
      </c>
      <c r="F42" s="232">
        <v>1</v>
      </c>
      <c r="G42" s="106"/>
    </row>
    <row r="43" spans="1:7" ht="15.6" customHeight="1">
      <c r="B43" s="107"/>
      <c r="C43" s="107" t="s">
        <v>15</v>
      </c>
      <c r="D43" s="237">
        <v>33943</v>
      </c>
      <c r="E43" s="237">
        <v>33943</v>
      </c>
      <c r="F43" s="242">
        <v>0</v>
      </c>
      <c r="G43" s="110"/>
    </row>
    <row r="44" spans="1:7" ht="15.6" customHeight="1">
      <c r="B44" s="117"/>
      <c r="C44" s="117" t="s">
        <v>153</v>
      </c>
      <c r="D44" s="236">
        <v>4301</v>
      </c>
      <c r="E44" s="236">
        <v>4301</v>
      </c>
      <c r="F44" s="232">
        <v>0</v>
      </c>
      <c r="G44" s="99"/>
    </row>
    <row r="45" spans="1:7" ht="15.6" customHeight="1">
      <c r="B45" s="117"/>
      <c r="C45" s="117" t="s">
        <v>37</v>
      </c>
      <c r="D45" s="236">
        <v>29394</v>
      </c>
      <c r="E45" s="236">
        <v>29394</v>
      </c>
      <c r="F45" s="232">
        <v>0</v>
      </c>
      <c r="G45" s="99"/>
    </row>
    <row r="46" spans="1:7" ht="15.6" customHeight="1">
      <c r="B46" s="118"/>
      <c r="C46" s="118" t="s">
        <v>155</v>
      </c>
      <c r="D46" s="232">
        <v>248</v>
      </c>
      <c r="E46" s="232">
        <v>248</v>
      </c>
      <c r="F46" s="232">
        <v>0</v>
      </c>
      <c r="G46" s="106"/>
    </row>
    <row r="47" spans="1:7" ht="15.6" customHeight="1">
      <c r="A47" s="13"/>
      <c r="B47" s="114"/>
      <c r="C47" s="114" t="s">
        <v>52</v>
      </c>
      <c r="D47" s="239">
        <v>6513</v>
      </c>
      <c r="E47" s="239">
        <v>6513</v>
      </c>
      <c r="F47" s="240">
        <v>0</v>
      </c>
      <c r="G47" s="116"/>
    </row>
    <row r="48" spans="1:7" ht="15.6" customHeight="1">
      <c r="A48" s="13"/>
      <c r="B48" s="114"/>
      <c r="C48" s="114" t="s">
        <v>117</v>
      </c>
      <c r="D48" s="240">
        <v>36</v>
      </c>
      <c r="E48" s="240">
        <v>36</v>
      </c>
      <c r="F48" s="240">
        <v>0</v>
      </c>
      <c r="G48" s="116"/>
    </row>
    <row r="49" spans="1:7" ht="15.6" customHeight="1">
      <c r="A49" s="13"/>
      <c r="B49" s="107"/>
      <c r="C49" s="107" t="s">
        <v>16</v>
      </c>
      <c r="D49" s="241">
        <v>604</v>
      </c>
      <c r="E49" s="242">
        <v>491</v>
      </c>
      <c r="F49" s="242">
        <v>113</v>
      </c>
      <c r="G49" s="110"/>
    </row>
    <row r="50" spans="1:7" ht="15.6" customHeight="1">
      <c r="B50" s="97"/>
      <c r="C50" s="97" t="s">
        <v>158</v>
      </c>
      <c r="D50" s="232">
        <v>8</v>
      </c>
      <c r="E50" s="232">
        <v>0</v>
      </c>
      <c r="F50" s="232">
        <v>8</v>
      </c>
      <c r="G50" s="99"/>
    </row>
    <row r="51" spans="1:7" ht="15.6" customHeight="1">
      <c r="B51" s="97"/>
      <c r="C51" s="97" t="s">
        <v>118</v>
      </c>
      <c r="D51" s="232">
        <v>292</v>
      </c>
      <c r="E51" s="232">
        <v>228</v>
      </c>
      <c r="F51" s="232">
        <v>64</v>
      </c>
      <c r="G51" s="99"/>
    </row>
    <row r="52" spans="1:7" ht="15.6" customHeight="1">
      <c r="B52" s="105"/>
      <c r="C52" s="105" t="s">
        <v>142</v>
      </c>
      <c r="D52" s="232">
        <v>304</v>
      </c>
      <c r="E52" s="232">
        <v>263</v>
      </c>
      <c r="F52" s="232">
        <v>41</v>
      </c>
      <c r="G52" s="106"/>
    </row>
    <row r="53" spans="1:7" ht="15.6" customHeight="1">
      <c r="A53" s="13"/>
      <c r="B53" s="107"/>
      <c r="C53" s="107" t="s">
        <v>17</v>
      </c>
      <c r="D53" s="241">
        <v>577</v>
      </c>
      <c r="E53" s="242">
        <v>377</v>
      </c>
      <c r="F53" s="242">
        <v>200</v>
      </c>
      <c r="G53" s="110"/>
    </row>
    <row r="54" spans="1:7" ht="15.6" customHeight="1">
      <c r="B54" s="97"/>
      <c r="C54" s="97" t="s">
        <v>160</v>
      </c>
      <c r="D54" s="232">
        <v>5</v>
      </c>
      <c r="E54" s="232">
        <v>0</v>
      </c>
      <c r="F54" s="232">
        <v>5</v>
      </c>
      <c r="G54" s="99"/>
    </row>
    <row r="55" spans="1:7" ht="15.6" customHeight="1">
      <c r="B55" s="97"/>
      <c r="C55" s="97" t="s">
        <v>39</v>
      </c>
      <c r="D55" s="232">
        <v>176</v>
      </c>
      <c r="E55" s="232">
        <v>144</v>
      </c>
      <c r="F55" s="232">
        <v>32</v>
      </c>
      <c r="G55" s="99"/>
    </row>
    <row r="56" spans="1:7" ht="15.6" customHeight="1">
      <c r="B56" s="105"/>
      <c r="C56" s="105" t="s">
        <v>40</v>
      </c>
      <c r="D56" s="232">
        <v>396</v>
      </c>
      <c r="E56" s="232">
        <v>233</v>
      </c>
      <c r="F56" s="232">
        <v>163</v>
      </c>
      <c r="G56" s="106"/>
    </row>
    <row r="57" spans="1:7" ht="15.6" customHeight="1" thickBot="1">
      <c r="B57" s="124"/>
      <c r="C57" s="124" t="s">
        <v>119</v>
      </c>
      <c r="D57" s="243">
        <v>17521</v>
      </c>
      <c r="E57" s="243">
        <v>17521</v>
      </c>
      <c r="F57" s="244">
        <v>0</v>
      </c>
      <c r="G57" s="126"/>
    </row>
    <row r="58" spans="1:7" s="13" customFormat="1" ht="3" customHeight="1">
      <c r="B58" s="127"/>
      <c r="C58" s="97"/>
      <c r="D58" s="128"/>
      <c r="E58" s="128"/>
      <c r="F58" s="128"/>
      <c r="G58" s="129"/>
    </row>
    <row r="59" spans="1:7" s="5" customFormat="1" ht="11.25" customHeight="1">
      <c r="B59" s="130" t="s">
        <v>100</v>
      </c>
      <c r="C59" s="131"/>
      <c r="D59" s="132"/>
      <c r="E59" s="132"/>
      <c r="F59" s="133"/>
      <c r="G59" s="80"/>
    </row>
    <row r="60" spans="1:7" s="4" customFormat="1" ht="11.25">
      <c r="B60" s="134" t="s">
        <v>101</v>
      </c>
      <c r="C60" s="135"/>
      <c r="D60" s="136"/>
      <c r="E60" s="136"/>
      <c r="F60" s="137"/>
      <c r="G60" s="138"/>
    </row>
    <row r="61" spans="1:7" s="4" customFormat="1" ht="11.25" customHeight="1">
      <c r="B61" s="134" t="s">
        <v>102</v>
      </c>
      <c r="C61" s="139"/>
      <c r="D61" s="136"/>
      <c r="E61" s="132"/>
      <c r="F61" s="140"/>
      <c r="G61" s="79"/>
    </row>
    <row r="62" spans="1:7" s="4" customFormat="1" ht="14.1" customHeight="1">
      <c r="B62" s="134" t="s">
        <v>103</v>
      </c>
      <c r="C62" s="139"/>
      <c r="D62" s="136"/>
      <c r="E62" s="132"/>
      <c r="F62" s="140"/>
      <c r="G62" s="79"/>
    </row>
    <row r="63" spans="1:7" s="4" customFormat="1" ht="14.1" customHeight="1">
      <c r="B63" s="134" t="s">
        <v>104</v>
      </c>
      <c r="C63" s="139"/>
      <c r="D63" s="136"/>
      <c r="E63" s="132"/>
      <c r="F63" s="140"/>
      <c r="G63" s="79"/>
    </row>
    <row r="64" spans="1:7" s="17" customFormat="1" ht="17.100000000000001" customHeight="1">
      <c r="A64" s="4"/>
      <c r="B64" s="3"/>
      <c r="C64" s="16"/>
      <c r="D64" s="15"/>
      <c r="E64" s="14"/>
      <c r="F64" s="15"/>
      <c r="G64" s="4"/>
    </row>
    <row r="65" spans="4:6" ht="17.100000000000001" customHeight="1">
      <c r="D65" s="18"/>
      <c r="E65" s="19"/>
      <c r="F65" s="18"/>
    </row>
    <row r="66" spans="4:6" ht="17.100000000000001" customHeight="1">
      <c r="D66" s="18"/>
      <c r="E66" s="19"/>
      <c r="F66" s="18"/>
    </row>
  </sheetData>
  <mergeCells count="2">
    <mergeCell ref="B1:G1"/>
    <mergeCell ref="B2:G2"/>
  </mergeCells>
  <phoneticPr fontId="17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7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1"/>
  </sheetPr>
  <dimension ref="A1:G66"/>
  <sheetViews>
    <sheetView showGridLines="0" zoomScale="85" zoomScaleNormal="85" workbookViewId="0">
      <selection activeCell="E9" sqref="E9"/>
    </sheetView>
  </sheetViews>
  <sheetFormatPr defaultColWidth="1.7109375" defaultRowHeight="17.100000000000001" customHeight="1"/>
  <cols>
    <col min="1" max="1" width="2.28515625" style="10" customWidth="1"/>
    <col min="2" max="2" width="2.28515625" style="20" customWidth="1"/>
    <col min="3" max="3" width="29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2.28515625" style="10" customWidth="1"/>
    <col min="8" max="255" width="9.140625" style="9" customWidth="1"/>
    <col min="256" max="16384" width="1.7109375" style="9"/>
  </cols>
  <sheetData>
    <row r="1" spans="2:7" s="1" customFormat="1" ht="21.95" customHeight="1">
      <c r="B1" s="249" t="s">
        <v>105</v>
      </c>
      <c r="C1" s="249"/>
      <c r="D1" s="249"/>
      <c r="E1" s="249"/>
      <c r="F1" s="249"/>
      <c r="G1" s="249"/>
    </row>
    <row r="2" spans="2:7" s="2" customFormat="1" ht="15" customHeight="1">
      <c r="B2" s="250" t="s">
        <v>179</v>
      </c>
      <c r="C2" s="250"/>
      <c r="D2" s="250"/>
      <c r="E2" s="250"/>
      <c r="F2" s="250"/>
      <c r="G2" s="250"/>
    </row>
    <row r="3" spans="2:7" s="4" customFormat="1" ht="11.1" customHeight="1" thickBot="1">
      <c r="B3" s="77"/>
      <c r="C3" s="78"/>
      <c r="D3" s="79"/>
      <c r="E3" s="80"/>
      <c r="F3" s="81" t="s">
        <v>54</v>
      </c>
      <c r="G3" s="81"/>
    </row>
    <row r="4" spans="2:7" s="6" customFormat="1" ht="15.6" customHeight="1">
      <c r="B4" s="82"/>
      <c r="C4" s="83" t="s">
        <v>95</v>
      </c>
      <c r="D4" s="84" t="s">
        <v>55</v>
      </c>
      <c r="E4" s="84" t="s">
        <v>56</v>
      </c>
      <c r="F4" s="84" t="s">
        <v>57</v>
      </c>
      <c r="G4" s="85"/>
    </row>
    <row r="5" spans="2:7" s="7" customFormat="1" ht="20.100000000000001" customHeight="1">
      <c r="B5" s="86"/>
      <c r="C5" s="87" t="s">
        <v>106</v>
      </c>
      <c r="D5" s="199">
        <f>SUM(D7,D11,D15,D21,D22,D23,D24,D28,D31,D32,D33,D38,D43,D47,D48,D49,D53,D57)</f>
        <v>59026</v>
      </c>
      <c r="E5" s="199">
        <f t="shared" ref="E5:F5" si="0">SUM(E7,E11,E15,E21,E22,E23,E24,E28,E31,E32,E33,E38,E43,E47,E48,E49,E53,E57)</f>
        <v>37268</v>
      </c>
      <c r="F5" s="199">
        <f t="shared" si="0"/>
        <v>21758</v>
      </c>
      <c r="G5" s="199"/>
    </row>
    <row r="6" spans="2:7" s="8" customFormat="1" ht="15" customHeight="1" thickBot="1">
      <c r="B6" s="90"/>
      <c r="C6" s="91" t="s">
        <v>107</v>
      </c>
      <c r="D6" s="197">
        <v>-5711</v>
      </c>
      <c r="E6" s="197">
        <v>-2976</v>
      </c>
      <c r="F6" s="197">
        <v>-2735</v>
      </c>
      <c r="G6" s="93"/>
    </row>
    <row r="7" spans="2:7" ht="15.6" customHeight="1" thickTop="1">
      <c r="B7" s="94"/>
      <c r="C7" s="94" t="s">
        <v>108</v>
      </c>
      <c r="D7" s="212">
        <v>49</v>
      </c>
      <c r="E7" s="212">
        <v>0</v>
      </c>
      <c r="F7" s="212">
        <v>49</v>
      </c>
      <c r="G7" s="96"/>
    </row>
    <row r="8" spans="2:7" ht="15.6" customHeight="1">
      <c r="B8" s="97"/>
      <c r="C8" s="97" t="s">
        <v>0</v>
      </c>
      <c r="D8" s="213">
        <v>46</v>
      </c>
      <c r="E8" s="213">
        <v>0</v>
      </c>
      <c r="F8" s="213">
        <v>46</v>
      </c>
      <c r="G8" s="99"/>
    </row>
    <row r="9" spans="2:7" ht="15.6" customHeight="1">
      <c r="B9" s="97"/>
      <c r="C9" s="97" t="s">
        <v>1</v>
      </c>
      <c r="D9" s="213">
        <v>2</v>
      </c>
      <c r="E9" s="213">
        <v>0</v>
      </c>
      <c r="F9" s="213">
        <v>2</v>
      </c>
      <c r="G9" s="99"/>
    </row>
    <row r="10" spans="2:7" ht="15.6" customHeight="1">
      <c r="B10" s="97"/>
      <c r="C10" s="97" t="s">
        <v>2</v>
      </c>
      <c r="D10" s="213">
        <v>1</v>
      </c>
      <c r="E10" s="213">
        <v>0</v>
      </c>
      <c r="F10" s="213">
        <v>1</v>
      </c>
      <c r="G10" s="100"/>
    </row>
    <row r="11" spans="2:7" ht="15.6" customHeight="1">
      <c r="B11" s="101"/>
      <c r="C11" s="101" t="s">
        <v>3</v>
      </c>
      <c r="D11" s="214">
        <v>495</v>
      </c>
      <c r="E11" s="215">
        <v>0</v>
      </c>
      <c r="F11" s="215">
        <v>495</v>
      </c>
      <c r="G11" s="104"/>
    </row>
    <row r="12" spans="2:7" ht="15.6" customHeight="1">
      <c r="B12" s="97"/>
      <c r="C12" s="97" t="s">
        <v>0</v>
      </c>
      <c r="D12" s="213">
        <v>250</v>
      </c>
      <c r="E12" s="213">
        <v>0</v>
      </c>
      <c r="F12" s="213">
        <v>250</v>
      </c>
      <c r="G12" s="99"/>
    </row>
    <row r="13" spans="2:7" ht="15.6" customHeight="1">
      <c r="B13" s="97"/>
      <c r="C13" s="97" t="s">
        <v>1</v>
      </c>
      <c r="D13" s="213">
        <v>47</v>
      </c>
      <c r="E13" s="213">
        <v>0</v>
      </c>
      <c r="F13" s="213">
        <v>47</v>
      </c>
      <c r="G13" s="99"/>
    </row>
    <row r="14" spans="2:7" ht="15.6" customHeight="1">
      <c r="B14" s="105"/>
      <c r="C14" s="105" t="s">
        <v>2</v>
      </c>
      <c r="D14" s="213">
        <v>198</v>
      </c>
      <c r="E14" s="213">
        <v>0</v>
      </c>
      <c r="F14" s="213">
        <v>198</v>
      </c>
      <c r="G14" s="106"/>
    </row>
    <row r="15" spans="2:7" ht="15.6" customHeight="1">
      <c r="B15" s="107"/>
      <c r="C15" s="107" t="s">
        <v>109</v>
      </c>
      <c r="D15" s="216">
        <v>22695</v>
      </c>
      <c r="E15" s="217">
        <v>8425</v>
      </c>
      <c r="F15" s="217">
        <v>14270</v>
      </c>
      <c r="G15" s="110"/>
    </row>
    <row r="16" spans="2:7" ht="15.6" customHeight="1">
      <c r="B16" s="97"/>
      <c r="C16" s="97" t="s">
        <v>4</v>
      </c>
      <c r="D16" s="218">
        <v>2653</v>
      </c>
      <c r="E16" s="213">
        <v>0</v>
      </c>
      <c r="F16" s="218">
        <v>2653</v>
      </c>
      <c r="G16" s="99"/>
    </row>
    <row r="17" spans="1:7" ht="15.6" customHeight="1">
      <c r="B17" s="97"/>
      <c r="C17" s="97" t="s">
        <v>5</v>
      </c>
      <c r="D17" s="218">
        <v>14149</v>
      </c>
      <c r="E17" s="218">
        <v>5010</v>
      </c>
      <c r="F17" s="218">
        <v>9139</v>
      </c>
      <c r="G17" s="99"/>
    </row>
    <row r="18" spans="1:7" ht="15.6" customHeight="1">
      <c r="B18" s="97"/>
      <c r="C18" s="97" t="s">
        <v>6</v>
      </c>
      <c r="D18" s="218">
        <v>981</v>
      </c>
      <c r="E18" s="213">
        <v>0</v>
      </c>
      <c r="F18" s="218">
        <v>981</v>
      </c>
      <c r="G18" s="99"/>
    </row>
    <row r="19" spans="1:7" ht="15.6" customHeight="1">
      <c r="B19" s="97"/>
      <c r="C19" s="97" t="s">
        <v>7</v>
      </c>
      <c r="D19" s="218">
        <v>4912</v>
      </c>
      <c r="E19" s="218">
        <v>3415</v>
      </c>
      <c r="F19" s="218">
        <v>1497</v>
      </c>
      <c r="G19" s="99"/>
    </row>
    <row r="20" spans="1:7" s="12" customFormat="1" ht="12">
      <c r="A20" s="11"/>
      <c r="B20" s="111"/>
      <c r="C20" s="111" t="s">
        <v>110</v>
      </c>
      <c r="D20" s="198">
        <v>-5711</v>
      </c>
      <c r="E20" s="198">
        <v>-2976</v>
      </c>
      <c r="F20" s="198">
        <v>-2735</v>
      </c>
      <c r="G20" s="113"/>
    </row>
    <row r="21" spans="1:7" ht="15.6" customHeight="1">
      <c r="B21" s="114"/>
      <c r="C21" s="114" t="s">
        <v>8</v>
      </c>
      <c r="D21" s="219">
        <v>6208</v>
      </c>
      <c r="E21" s="220">
        <v>729</v>
      </c>
      <c r="F21" s="219">
        <v>5479</v>
      </c>
      <c r="G21" s="116"/>
    </row>
    <row r="22" spans="1:7" ht="15.6" customHeight="1">
      <c r="B22" s="114"/>
      <c r="C22" s="114" t="s">
        <v>9</v>
      </c>
      <c r="D22" s="219">
        <v>1876</v>
      </c>
      <c r="E22" s="219">
        <v>1556</v>
      </c>
      <c r="F22" s="220">
        <v>320</v>
      </c>
      <c r="G22" s="116"/>
    </row>
    <row r="23" spans="1:7" ht="15.6" customHeight="1">
      <c r="B23" s="114"/>
      <c r="C23" s="114" t="s">
        <v>26</v>
      </c>
      <c r="D23" s="220">
        <v>19</v>
      </c>
      <c r="E23" s="220">
        <v>0</v>
      </c>
      <c r="F23" s="220">
        <v>19</v>
      </c>
      <c r="G23" s="116"/>
    </row>
    <row r="24" spans="1:7" ht="15.6" customHeight="1">
      <c r="B24" s="107"/>
      <c r="C24" s="107" t="s">
        <v>10</v>
      </c>
      <c r="D24" s="221">
        <v>59</v>
      </c>
      <c r="E24" s="222">
        <v>23</v>
      </c>
      <c r="F24" s="222">
        <v>36</v>
      </c>
      <c r="G24" s="110"/>
    </row>
    <row r="25" spans="1:7" ht="15.6" customHeight="1">
      <c r="A25" s="13"/>
      <c r="B25" s="117"/>
      <c r="C25" s="117" t="s">
        <v>111</v>
      </c>
      <c r="D25" s="213">
        <v>3</v>
      </c>
      <c r="E25" s="213">
        <v>0</v>
      </c>
      <c r="F25" s="213">
        <v>3</v>
      </c>
      <c r="G25" s="99"/>
    </row>
    <row r="26" spans="1:7" ht="15.6" customHeight="1">
      <c r="A26" s="13"/>
      <c r="B26" s="117"/>
      <c r="C26" s="117" t="s">
        <v>112</v>
      </c>
      <c r="D26" s="213">
        <v>30</v>
      </c>
      <c r="E26" s="213">
        <v>11</v>
      </c>
      <c r="F26" s="213">
        <v>19</v>
      </c>
      <c r="G26" s="99"/>
    </row>
    <row r="27" spans="1:7" ht="15.6" customHeight="1">
      <c r="A27" s="13"/>
      <c r="B27" s="118"/>
      <c r="C27" s="118" t="s">
        <v>113</v>
      </c>
      <c r="D27" s="213">
        <v>26</v>
      </c>
      <c r="E27" s="213">
        <v>12</v>
      </c>
      <c r="F27" s="213">
        <v>14</v>
      </c>
      <c r="G27" s="106"/>
    </row>
    <row r="28" spans="1:7" ht="15.6" customHeight="1">
      <c r="B28" s="107"/>
      <c r="C28" s="107" t="s">
        <v>167</v>
      </c>
      <c r="D28" s="216">
        <v>999</v>
      </c>
      <c r="E28" s="222">
        <v>237</v>
      </c>
      <c r="F28" s="222">
        <v>762</v>
      </c>
      <c r="G28" s="110"/>
    </row>
    <row r="29" spans="1:7" ht="15.6" customHeight="1">
      <c r="B29" s="117"/>
      <c r="C29" s="117" t="s">
        <v>11</v>
      </c>
      <c r="D29" s="213">
        <v>539</v>
      </c>
      <c r="E29" s="213">
        <v>0</v>
      </c>
      <c r="F29" s="213">
        <v>539</v>
      </c>
      <c r="G29" s="99"/>
    </row>
    <row r="30" spans="1:7" ht="15.6" customHeight="1">
      <c r="B30" s="119"/>
      <c r="C30" s="119" t="s">
        <v>12</v>
      </c>
      <c r="D30" s="213">
        <v>460</v>
      </c>
      <c r="E30" s="213">
        <v>237</v>
      </c>
      <c r="F30" s="213">
        <v>223</v>
      </c>
      <c r="G30" s="106"/>
    </row>
    <row r="31" spans="1:7" ht="15.6" customHeight="1">
      <c r="B31" s="120"/>
      <c r="C31" s="120" t="s">
        <v>30</v>
      </c>
      <c r="D31" s="220">
        <v>0</v>
      </c>
      <c r="E31" s="220">
        <v>0</v>
      </c>
      <c r="F31" s="220">
        <v>0</v>
      </c>
      <c r="G31" s="116"/>
    </row>
    <row r="32" spans="1:7" ht="15.6" customHeight="1">
      <c r="B32" s="120"/>
      <c r="C32" s="120" t="s">
        <v>13</v>
      </c>
      <c r="D32" s="220">
        <v>18</v>
      </c>
      <c r="E32" s="220">
        <v>0</v>
      </c>
      <c r="F32" s="220">
        <v>18</v>
      </c>
      <c r="G32" s="116"/>
    </row>
    <row r="33" spans="1:7" ht="15.6" customHeight="1">
      <c r="A33" s="13"/>
      <c r="B33" s="107"/>
      <c r="C33" s="107" t="s">
        <v>14</v>
      </c>
      <c r="D33" s="221">
        <v>192</v>
      </c>
      <c r="E33" s="222">
        <v>152</v>
      </c>
      <c r="F33" s="222">
        <v>40</v>
      </c>
      <c r="G33" s="110"/>
    </row>
    <row r="34" spans="1:7" ht="15.6" customHeight="1">
      <c r="B34" s="117"/>
      <c r="C34" s="117" t="s">
        <v>32</v>
      </c>
      <c r="D34" s="213">
        <v>14</v>
      </c>
      <c r="E34" s="213">
        <v>0</v>
      </c>
      <c r="F34" s="213">
        <v>14</v>
      </c>
      <c r="G34" s="99"/>
    </row>
    <row r="35" spans="1:7" ht="15.6" customHeight="1">
      <c r="B35" s="117"/>
      <c r="C35" s="117" t="s">
        <v>33</v>
      </c>
      <c r="D35" s="213">
        <v>128</v>
      </c>
      <c r="E35" s="213">
        <v>122</v>
      </c>
      <c r="F35" s="213">
        <v>6</v>
      </c>
      <c r="G35" s="99"/>
    </row>
    <row r="36" spans="1:7" ht="15.6" customHeight="1">
      <c r="B36" s="117"/>
      <c r="C36" s="117" t="s">
        <v>34</v>
      </c>
      <c r="D36" s="213">
        <v>13</v>
      </c>
      <c r="E36" s="213">
        <v>0</v>
      </c>
      <c r="F36" s="213">
        <v>13</v>
      </c>
      <c r="G36" s="99"/>
    </row>
    <row r="37" spans="1:7" ht="15.6" customHeight="1">
      <c r="B37" s="118"/>
      <c r="C37" s="118" t="s">
        <v>35</v>
      </c>
      <c r="D37" s="213">
        <v>37</v>
      </c>
      <c r="E37" s="213">
        <v>30</v>
      </c>
      <c r="F37" s="213">
        <v>7</v>
      </c>
      <c r="G37" s="106"/>
    </row>
    <row r="38" spans="1:7" ht="15.6" customHeight="1">
      <c r="A38" s="13"/>
      <c r="B38" s="107"/>
      <c r="C38" s="107" t="s">
        <v>114</v>
      </c>
      <c r="D38" s="221">
        <v>613</v>
      </c>
      <c r="E38" s="222">
        <v>424</v>
      </c>
      <c r="F38" s="222">
        <v>189</v>
      </c>
      <c r="G38" s="110"/>
    </row>
    <row r="39" spans="1:7" ht="15.6" customHeight="1">
      <c r="B39" s="121"/>
      <c r="C39" s="121" t="s">
        <v>115</v>
      </c>
      <c r="D39" s="213">
        <v>115</v>
      </c>
      <c r="E39" s="213">
        <v>0</v>
      </c>
      <c r="F39" s="213">
        <v>115</v>
      </c>
      <c r="G39" s="123"/>
    </row>
    <row r="40" spans="1:7" ht="15.6" customHeight="1">
      <c r="B40" s="117"/>
      <c r="C40" s="117" t="s">
        <v>49</v>
      </c>
      <c r="D40" s="213">
        <v>458</v>
      </c>
      <c r="E40" s="213">
        <v>411</v>
      </c>
      <c r="F40" s="213">
        <v>47</v>
      </c>
      <c r="G40" s="99"/>
    </row>
    <row r="41" spans="1:7" ht="15.6" customHeight="1">
      <c r="B41" s="117"/>
      <c r="C41" s="117" t="s">
        <v>116</v>
      </c>
      <c r="D41" s="213">
        <v>25</v>
      </c>
      <c r="E41" s="213">
        <v>0</v>
      </c>
      <c r="F41" s="213">
        <v>25</v>
      </c>
      <c r="G41" s="99"/>
    </row>
    <row r="42" spans="1:7" ht="15.6" customHeight="1">
      <c r="B42" s="118"/>
      <c r="C42" s="118" t="s">
        <v>51</v>
      </c>
      <c r="D42" s="213">
        <v>15</v>
      </c>
      <c r="E42" s="213">
        <v>13</v>
      </c>
      <c r="F42" s="213">
        <v>2</v>
      </c>
      <c r="G42" s="106"/>
    </row>
    <row r="43" spans="1:7" ht="15.6" customHeight="1">
      <c r="B43" s="107"/>
      <c r="C43" s="107" t="s">
        <v>15</v>
      </c>
      <c r="D43" s="216">
        <v>15251</v>
      </c>
      <c r="E43" s="217">
        <v>15251</v>
      </c>
      <c r="F43" s="222">
        <v>0</v>
      </c>
      <c r="G43" s="110"/>
    </row>
    <row r="44" spans="1:7" ht="15.6" customHeight="1">
      <c r="B44" s="117"/>
      <c r="C44" s="117" t="s">
        <v>153</v>
      </c>
      <c r="D44" s="218">
        <v>1286</v>
      </c>
      <c r="E44" s="218">
        <v>1286</v>
      </c>
      <c r="F44" s="213">
        <v>0</v>
      </c>
      <c r="G44" s="99"/>
    </row>
    <row r="45" spans="1:7" ht="15.6" customHeight="1">
      <c r="B45" s="117"/>
      <c r="C45" s="117" t="s">
        <v>37</v>
      </c>
      <c r="D45" s="218">
        <v>13929</v>
      </c>
      <c r="E45" s="218">
        <v>13929</v>
      </c>
      <c r="F45" s="213">
        <v>0</v>
      </c>
      <c r="G45" s="99"/>
    </row>
    <row r="46" spans="1:7" ht="15.6" customHeight="1">
      <c r="B46" s="118"/>
      <c r="C46" s="118" t="s">
        <v>155</v>
      </c>
      <c r="D46" s="213">
        <v>36</v>
      </c>
      <c r="E46" s="213">
        <v>36</v>
      </c>
      <c r="F46" s="213">
        <v>0</v>
      </c>
      <c r="G46" s="106"/>
    </row>
    <row r="47" spans="1:7" ht="15.6" customHeight="1">
      <c r="A47" s="13"/>
      <c r="B47" s="114"/>
      <c r="C47" s="114" t="s">
        <v>52</v>
      </c>
      <c r="D47" s="219">
        <v>4696</v>
      </c>
      <c r="E47" s="219">
        <v>4696</v>
      </c>
      <c r="F47" s="220">
        <v>0</v>
      </c>
      <c r="G47" s="116"/>
    </row>
    <row r="48" spans="1:7" ht="15.6" customHeight="1">
      <c r="A48" s="13"/>
      <c r="B48" s="114"/>
      <c r="C48" s="114" t="s">
        <v>117</v>
      </c>
      <c r="D48" s="220">
        <v>17</v>
      </c>
      <c r="E48" s="220">
        <v>17</v>
      </c>
      <c r="F48" s="220">
        <v>0</v>
      </c>
      <c r="G48" s="116"/>
    </row>
    <row r="49" spans="1:7" ht="15.6" customHeight="1">
      <c r="A49" s="13"/>
      <c r="B49" s="107"/>
      <c r="C49" s="107" t="s">
        <v>16</v>
      </c>
      <c r="D49" s="221">
        <v>64</v>
      </c>
      <c r="E49" s="222">
        <v>49</v>
      </c>
      <c r="F49" s="222">
        <v>15</v>
      </c>
      <c r="G49" s="110"/>
    </row>
    <row r="50" spans="1:7" ht="15.6" customHeight="1">
      <c r="B50" s="97"/>
      <c r="C50" s="97" t="s">
        <v>158</v>
      </c>
      <c r="D50" s="213">
        <v>1</v>
      </c>
      <c r="E50" s="213">
        <v>0</v>
      </c>
      <c r="F50" s="213">
        <v>1</v>
      </c>
      <c r="G50" s="99"/>
    </row>
    <row r="51" spans="1:7" ht="15.6" customHeight="1">
      <c r="B51" s="97"/>
      <c r="C51" s="97" t="s">
        <v>118</v>
      </c>
      <c r="D51" s="213">
        <v>33</v>
      </c>
      <c r="E51" s="213">
        <v>22</v>
      </c>
      <c r="F51" s="213">
        <v>11</v>
      </c>
      <c r="G51" s="99"/>
    </row>
    <row r="52" spans="1:7" ht="15.6" customHeight="1">
      <c r="B52" s="105"/>
      <c r="C52" s="105" t="s">
        <v>142</v>
      </c>
      <c r="D52" s="213">
        <v>30</v>
      </c>
      <c r="E52" s="213">
        <v>27</v>
      </c>
      <c r="F52" s="213">
        <v>3</v>
      </c>
      <c r="G52" s="106"/>
    </row>
    <row r="53" spans="1:7" ht="15.6" customHeight="1">
      <c r="A53" s="13"/>
      <c r="B53" s="107"/>
      <c r="C53" s="107" t="s">
        <v>17</v>
      </c>
      <c r="D53" s="221">
        <v>308</v>
      </c>
      <c r="E53" s="222">
        <v>242</v>
      </c>
      <c r="F53" s="222">
        <v>66</v>
      </c>
      <c r="G53" s="110"/>
    </row>
    <row r="54" spans="1:7" ht="15.6" customHeight="1">
      <c r="B54" s="97"/>
      <c r="C54" s="97" t="s">
        <v>160</v>
      </c>
      <c r="D54" s="213">
        <v>1</v>
      </c>
      <c r="E54" s="213">
        <v>0</v>
      </c>
      <c r="F54" s="213">
        <v>1</v>
      </c>
      <c r="G54" s="99"/>
    </row>
    <row r="55" spans="1:7" ht="15.6" customHeight="1">
      <c r="B55" s="97"/>
      <c r="C55" s="97" t="s">
        <v>39</v>
      </c>
      <c r="D55" s="213">
        <v>177</v>
      </c>
      <c r="E55" s="213">
        <v>151</v>
      </c>
      <c r="F55" s="213">
        <v>26</v>
      </c>
      <c r="G55" s="99"/>
    </row>
    <row r="56" spans="1:7" ht="15.6" customHeight="1">
      <c r="B56" s="105"/>
      <c r="C56" s="105" t="s">
        <v>40</v>
      </c>
      <c r="D56" s="213">
        <v>130</v>
      </c>
      <c r="E56" s="213">
        <v>91</v>
      </c>
      <c r="F56" s="213">
        <v>39</v>
      </c>
      <c r="G56" s="106"/>
    </row>
    <row r="57" spans="1:7" ht="15.6" customHeight="1" thickBot="1">
      <c r="B57" s="124"/>
      <c r="C57" s="124" t="s">
        <v>119</v>
      </c>
      <c r="D57" s="223">
        <v>5467</v>
      </c>
      <c r="E57" s="223">
        <v>5467</v>
      </c>
      <c r="F57" s="224">
        <v>0</v>
      </c>
      <c r="G57" s="126"/>
    </row>
    <row r="58" spans="1:7" s="13" customFormat="1" ht="4.5" customHeight="1">
      <c r="B58" s="127"/>
      <c r="C58" s="97"/>
      <c r="D58" s="128"/>
      <c r="E58" s="128"/>
      <c r="F58" s="128"/>
      <c r="G58" s="129"/>
    </row>
    <row r="59" spans="1:7" s="5" customFormat="1" ht="12.75" customHeight="1">
      <c r="B59" s="130" t="s">
        <v>100</v>
      </c>
      <c r="C59" s="131"/>
      <c r="D59" s="132"/>
      <c r="E59" s="132"/>
      <c r="F59" s="133"/>
      <c r="G59" s="80"/>
    </row>
    <row r="60" spans="1:7" s="4" customFormat="1" ht="11.25">
      <c r="B60" s="134" t="s">
        <v>101</v>
      </c>
      <c r="C60" s="135"/>
      <c r="D60" s="136"/>
      <c r="E60" s="136"/>
      <c r="F60" s="137"/>
      <c r="G60" s="138"/>
    </row>
    <row r="61" spans="1:7" s="4" customFormat="1" ht="11.25" customHeight="1">
      <c r="B61" s="134" t="s">
        <v>102</v>
      </c>
      <c r="C61" s="139"/>
      <c r="D61" s="136"/>
      <c r="E61" s="132"/>
      <c r="F61" s="140"/>
      <c r="G61" s="79"/>
    </row>
    <row r="62" spans="1:7" s="4" customFormat="1" ht="14.1" customHeight="1">
      <c r="B62" s="134" t="s">
        <v>103</v>
      </c>
      <c r="C62" s="139"/>
      <c r="D62" s="136"/>
      <c r="E62" s="132"/>
      <c r="F62" s="140"/>
      <c r="G62" s="79"/>
    </row>
    <row r="63" spans="1:7" s="4" customFormat="1" ht="14.1" customHeight="1">
      <c r="B63" s="134" t="s">
        <v>104</v>
      </c>
      <c r="C63" s="139"/>
      <c r="D63" s="136"/>
      <c r="E63" s="132"/>
      <c r="F63" s="140"/>
      <c r="G63" s="79"/>
    </row>
    <row r="64" spans="1:7" s="17" customFormat="1" ht="17.100000000000001" customHeight="1">
      <c r="A64" s="4"/>
      <c r="B64" s="3"/>
      <c r="C64" s="16"/>
      <c r="D64" s="15"/>
      <c r="E64" s="14"/>
      <c r="F64" s="15"/>
      <c r="G64" s="4"/>
    </row>
    <row r="65" spans="4:6" ht="17.100000000000001" customHeight="1">
      <c r="D65" s="18"/>
      <c r="E65" s="19"/>
      <c r="F65" s="18"/>
    </row>
    <row r="66" spans="4:6" ht="17.100000000000001" customHeight="1">
      <c r="D66" s="18"/>
      <c r="E66" s="19"/>
      <c r="F66" s="18"/>
    </row>
  </sheetData>
  <mergeCells count="2">
    <mergeCell ref="B1:G1"/>
    <mergeCell ref="B2:G2"/>
  </mergeCells>
  <phoneticPr fontId="6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75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66"/>
  <sheetViews>
    <sheetView showGridLines="0" zoomScale="85" zoomScaleNormal="85" workbookViewId="0">
      <selection activeCell="E11" sqref="E11"/>
    </sheetView>
  </sheetViews>
  <sheetFormatPr defaultColWidth="1.7109375" defaultRowHeight="17.100000000000001" customHeight="1"/>
  <cols>
    <col min="1" max="1" width="2.28515625" style="10" customWidth="1"/>
    <col min="2" max="2" width="2.28515625" style="20" customWidth="1"/>
    <col min="3" max="3" width="29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2.28515625" style="10" customWidth="1"/>
    <col min="8" max="255" width="9.140625" style="9" customWidth="1"/>
    <col min="256" max="16384" width="1.7109375" style="9"/>
  </cols>
  <sheetData>
    <row r="1" spans="2:7" s="1" customFormat="1" ht="21.95" customHeight="1">
      <c r="B1" s="249" t="s">
        <v>105</v>
      </c>
      <c r="C1" s="249"/>
      <c r="D1" s="249"/>
      <c r="E1" s="249"/>
      <c r="F1" s="249"/>
      <c r="G1" s="249"/>
    </row>
    <row r="2" spans="2:7" s="2" customFormat="1" ht="15" customHeight="1">
      <c r="B2" s="250" t="s">
        <v>180</v>
      </c>
      <c r="C2" s="250"/>
      <c r="D2" s="250"/>
      <c r="E2" s="250"/>
      <c r="F2" s="250"/>
      <c r="G2" s="250"/>
    </row>
    <row r="3" spans="2:7" s="4" customFormat="1" ht="11.1" customHeight="1" thickBot="1">
      <c r="B3" s="77"/>
      <c r="C3" s="78"/>
      <c r="D3" s="79"/>
      <c r="E3" s="80"/>
      <c r="F3" s="81" t="s">
        <v>54</v>
      </c>
      <c r="G3" s="81"/>
    </row>
    <row r="4" spans="2:7" s="6" customFormat="1" ht="15.6" customHeight="1">
      <c r="B4" s="82"/>
      <c r="C4" s="83" t="s">
        <v>95</v>
      </c>
      <c r="D4" s="84" t="s">
        <v>55</v>
      </c>
      <c r="E4" s="84" t="s">
        <v>56</v>
      </c>
      <c r="F4" s="84" t="s">
        <v>57</v>
      </c>
      <c r="G4" s="85"/>
    </row>
    <row r="5" spans="2:7" s="7" customFormat="1" ht="20.100000000000001" customHeight="1">
      <c r="B5" s="86"/>
      <c r="C5" s="87" t="s">
        <v>106</v>
      </c>
      <c r="D5" s="199">
        <f>SUM(D7,D11,D15,D21,D22,D23,D24,D28,D31,D32,D33,D38,D43,D47,D48,D49,D53,D57)</f>
        <v>41659</v>
      </c>
      <c r="E5" s="199">
        <f t="shared" ref="E5:F5" si="0">SUM(E7,E11,E15,E21,E22,E23,E24,E28,E31,E32,E33,E38,E43,E47,E48,E49,E53,E57)</f>
        <v>25222</v>
      </c>
      <c r="F5" s="199">
        <f t="shared" si="0"/>
        <v>16437</v>
      </c>
      <c r="G5" s="89"/>
    </row>
    <row r="6" spans="2:7" s="8" customFormat="1" ht="15" customHeight="1" thickBot="1">
      <c r="B6" s="90"/>
      <c r="C6" s="91" t="s">
        <v>107</v>
      </c>
      <c r="D6" s="197">
        <v>-4070</v>
      </c>
      <c r="E6" s="197">
        <v>-2263</v>
      </c>
      <c r="F6" s="197">
        <v>-1807</v>
      </c>
      <c r="G6" s="93"/>
    </row>
    <row r="7" spans="2:7" ht="15.6" customHeight="1" thickTop="1">
      <c r="B7" s="94"/>
      <c r="C7" s="94" t="s">
        <v>108</v>
      </c>
      <c r="D7" s="231">
        <v>34</v>
      </c>
      <c r="E7" s="231">
        <v>0</v>
      </c>
      <c r="F7" s="231">
        <v>34</v>
      </c>
      <c r="G7" s="96"/>
    </row>
    <row r="8" spans="2:7" ht="15.6" customHeight="1">
      <c r="B8" s="97"/>
      <c r="C8" s="97" t="s">
        <v>0</v>
      </c>
      <c r="D8" s="232">
        <v>32</v>
      </c>
      <c r="E8" s="232">
        <v>0</v>
      </c>
      <c r="F8" s="232">
        <v>32</v>
      </c>
      <c r="G8" s="99"/>
    </row>
    <row r="9" spans="2:7" ht="15.6" customHeight="1">
      <c r="B9" s="97"/>
      <c r="C9" s="97" t="s">
        <v>1</v>
      </c>
      <c r="D9" s="232">
        <v>1</v>
      </c>
      <c r="E9" s="232">
        <v>0</v>
      </c>
      <c r="F9" s="232">
        <v>1</v>
      </c>
      <c r="G9" s="99"/>
    </row>
    <row r="10" spans="2:7" ht="15.6" customHeight="1">
      <c r="B10" s="97"/>
      <c r="C10" s="97" t="s">
        <v>2</v>
      </c>
      <c r="D10" s="232">
        <v>1</v>
      </c>
      <c r="E10" s="232">
        <v>0</v>
      </c>
      <c r="F10" s="232">
        <v>1</v>
      </c>
      <c r="G10" s="100"/>
    </row>
    <row r="11" spans="2:7" ht="15.6" customHeight="1">
      <c r="B11" s="101"/>
      <c r="C11" s="101" t="s">
        <v>3</v>
      </c>
      <c r="D11" s="245">
        <v>421</v>
      </c>
      <c r="E11" s="234">
        <v>0</v>
      </c>
      <c r="F11" s="234">
        <v>421</v>
      </c>
      <c r="G11" s="104"/>
    </row>
    <row r="12" spans="2:7" ht="15.6" customHeight="1">
      <c r="B12" s="97"/>
      <c r="C12" s="97" t="s">
        <v>0</v>
      </c>
      <c r="D12" s="232">
        <v>218</v>
      </c>
      <c r="E12" s="232">
        <v>0</v>
      </c>
      <c r="F12" s="232">
        <v>218</v>
      </c>
      <c r="G12" s="99"/>
    </row>
    <row r="13" spans="2:7" ht="15.6" customHeight="1">
      <c r="B13" s="97"/>
      <c r="C13" s="97" t="s">
        <v>1</v>
      </c>
      <c r="D13" s="232">
        <v>56</v>
      </c>
      <c r="E13" s="232">
        <v>0</v>
      </c>
      <c r="F13" s="232">
        <v>56</v>
      </c>
      <c r="G13" s="99"/>
    </row>
    <row r="14" spans="2:7" ht="15.6" customHeight="1">
      <c r="B14" s="105"/>
      <c r="C14" s="105" t="s">
        <v>2</v>
      </c>
      <c r="D14" s="232">
        <v>147</v>
      </c>
      <c r="E14" s="232">
        <v>0</v>
      </c>
      <c r="F14" s="232">
        <v>147</v>
      </c>
      <c r="G14" s="106"/>
    </row>
    <row r="15" spans="2:7" ht="15.6" customHeight="1">
      <c r="B15" s="107"/>
      <c r="C15" s="107" t="s">
        <v>109</v>
      </c>
      <c r="D15" s="237">
        <v>17056</v>
      </c>
      <c r="E15" s="238">
        <v>6089</v>
      </c>
      <c r="F15" s="238">
        <v>10967</v>
      </c>
      <c r="G15" s="110"/>
    </row>
    <row r="16" spans="2:7" ht="15.6" customHeight="1">
      <c r="B16" s="97"/>
      <c r="C16" s="97" t="s">
        <v>4</v>
      </c>
      <c r="D16" s="236">
        <v>2295</v>
      </c>
      <c r="E16" s="232">
        <v>0</v>
      </c>
      <c r="F16" s="236">
        <v>2295</v>
      </c>
      <c r="G16" s="99"/>
    </row>
    <row r="17" spans="1:7" ht="15.6" customHeight="1">
      <c r="B17" s="97"/>
      <c r="C17" s="97" t="s">
        <v>5</v>
      </c>
      <c r="D17" s="236">
        <v>10527</v>
      </c>
      <c r="E17" s="236">
        <v>3584</v>
      </c>
      <c r="F17" s="236">
        <v>6943</v>
      </c>
      <c r="G17" s="99"/>
    </row>
    <row r="18" spans="1:7" ht="15.6" customHeight="1">
      <c r="B18" s="97"/>
      <c r="C18" s="97" t="s">
        <v>6</v>
      </c>
      <c r="D18" s="232">
        <v>685</v>
      </c>
      <c r="E18" s="232">
        <v>0</v>
      </c>
      <c r="F18" s="232">
        <v>685</v>
      </c>
      <c r="G18" s="99"/>
    </row>
    <row r="19" spans="1:7" ht="15.6" customHeight="1">
      <c r="B19" s="97"/>
      <c r="C19" s="97" t="s">
        <v>7</v>
      </c>
      <c r="D19" s="236">
        <v>3549</v>
      </c>
      <c r="E19" s="236">
        <v>2505</v>
      </c>
      <c r="F19" s="236">
        <v>1044</v>
      </c>
      <c r="G19" s="99"/>
    </row>
    <row r="20" spans="1:7" s="12" customFormat="1" ht="12">
      <c r="A20" s="11"/>
      <c r="B20" s="111"/>
      <c r="C20" s="111" t="s">
        <v>110</v>
      </c>
      <c r="D20" s="198">
        <v>-4070</v>
      </c>
      <c r="E20" s="198">
        <v>-2263</v>
      </c>
      <c r="F20" s="198">
        <v>-1807</v>
      </c>
      <c r="G20" s="113"/>
    </row>
    <row r="21" spans="1:7" ht="15.6" customHeight="1">
      <c r="B21" s="114"/>
      <c r="C21" s="114" t="s">
        <v>8</v>
      </c>
      <c r="D21" s="239">
        <v>4369</v>
      </c>
      <c r="E21" s="240">
        <v>456</v>
      </c>
      <c r="F21" s="239">
        <v>3913</v>
      </c>
      <c r="G21" s="116"/>
    </row>
    <row r="22" spans="1:7" ht="15.6" customHeight="1">
      <c r="B22" s="114"/>
      <c r="C22" s="114" t="s">
        <v>9</v>
      </c>
      <c r="D22" s="239">
        <v>1895</v>
      </c>
      <c r="E22" s="239">
        <v>1611</v>
      </c>
      <c r="F22" s="240">
        <v>284</v>
      </c>
      <c r="G22" s="116"/>
    </row>
    <row r="23" spans="1:7" ht="15.6" customHeight="1">
      <c r="B23" s="114"/>
      <c r="C23" s="114" t="s">
        <v>26</v>
      </c>
      <c r="D23" s="240">
        <v>6</v>
      </c>
      <c r="E23" s="240">
        <v>1</v>
      </c>
      <c r="F23" s="240">
        <v>5</v>
      </c>
      <c r="G23" s="116"/>
    </row>
    <row r="24" spans="1:7" ht="15.6" customHeight="1">
      <c r="B24" s="107"/>
      <c r="C24" s="107" t="s">
        <v>10</v>
      </c>
      <c r="D24" s="241">
        <v>30</v>
      </c>
      <c r="E24" s="242">
        <v>8</v>
      </c>
      <c r="F24" s="242">
        <v>22</v>
      </c>
      <c r="G24" s="110"/>
    </row>
    <row r="25" spans="1:7" ht="15.6" customHeight="1">
      <c r="A25" s="13"/>
      <c r="B25" s="117"/>
      <c r="C25" s="117" t="s">
        <v>111</v>
      </c>
      <c r="D25" s="232">
        <v>0</v>
      </c>
      <c r="E25" s="232">
        <v>0</v>
      </c>
      <c r="F25" s="232">
        <v>0</v>
      </c>
      <c r="G25" s="99"/>
    </row>
    <row r="26" spans="1:7" ht="15.6" customHeight="1">
      <c r="A26" s="13"/>
      <c r="B26" s="117"/>
      <c r="C26" s="117" t="s">
        <v>112</v>
      </c>
      <c r="D26" s="232">
        <v>8</v>
      </c>
      <c r="E26" s="232">
        <v>2</v>
      </c>
      <c r="F26" s="232">
        <v>6</v>
      </c>
      <c r="G26" s="99"/>
    </row>
    <row r="27" spans="1:7" ht="15.6" customHeight="1">
      <c r="A27" s="13"/>
      <c r="B27" s="118"/>
      <c r="C27" s="118" t="s">
        <v>113</v>
      </c>
      <c r="D27" s="232">
        <v>22</v>
      </c>
      <c r="E27" s="232">
        <v>6</v>
      </c>
      <c r="F27" s="232">
        <v>16</v>
      </c>
      <c r="G27" s="106"/>
    </row>
    <row r="28" spans="1:7" ht="15.6" customHeight="1">
      <c r="B28" s="107"/>
      <c r="C28" s="107" t="s">
        <v>167</v>
      </c>
      <c r="D28" s="241">
        <v>724</v>
      </c>
      <c r="E28" s="242">
        <v>147</v>
      </c>
      <c r="F28" s="242">
        <v>577</v>
      </c>
      <c r="G28" s="110"/>
    </row>
    <row r="29" spans="1:7" ht="15.6" customHeight="1">
      <c r="B29" s="117"/>
      <c r="C29" s="117" t="s">
        <v>11</v>
      </c>
      <c r="D29" s="232">
        <v>450</v>
      </c>
      <c r="E29" s="232">
        <v>0</v>
      </c>
      <c r="F29" s="232">
        <v>450</v>
      </c>
      <c r="G29" s="99"/>
    </row>
    <row r="30" spans="1:7" ht="15.6" customHeight="1">
      <c r="B30" s="119"/>
      <c r="C30" s="119" t="s">
        <v>12</v>
      </c>
      <c r="D30" s="232">
        <v>274</v>
      </c>
      <c r="E30" s="232">
        <v>147</v>
      </c>
      <c r="F30" s="232">
        <v>127</v>
      </c>
      <c r="G30" s="106"/>
    </row>
    <row r="31" spans="1:7" ht="15.6" customHeight="1">
      <c r="B31" s="120"/>
      <c r="C31" s="120" t="s">
        <v>30</v>
      </c>
      <c r="D31" s="240">
        <v>0</v>
      </c>
      <c r="E31" s="240">
        <v>0</v>
      </c>
      <c r="F31" s="240">
        <v>0</v>
      </c>
      <c r="G31" s="116"/>
    </row>
    <row r="32" spans="1:7" ht="15.6" customHeight="1">
      <c r="B32" s="120"/>
      <c r="C32" s="120" t="s">
        <v>13</v>
      </c>
      <c r="D32" s="240">
        <v>13</v>
      </c>
      <c r="E32" s="240">
        <v>2</v>
      </c>
      <c r="F32" s="240">
        <v>11</v>
      </c>
      <c r="G32" s="116"/>
    </row>
    <row r="33" spans="1:7" ht="15.6" customHeight="1">
      <c r="A33" s="13"/>
      <c r="B33" s="107"/>
      <c r="C33" s="107" t="s">
        <v>14</v>
      </c>
      <c r="D33" s="241">
        <v>167</v>
      </c>
      <c r="E33" s="242">
        <v>128</v>
      </c>
      <c r="F33" s="242">
        <v>39</v>
      </c>
      <c r="G33" s="110"/>
    </row>
    <row r="34" spans="1:7" ht="15.6" customHeight="1">
      <c r="B34" s="117"/>
      <c r="C34" s="117" t="s">
        <v>32</v>
      </c>
      <c r="D34" s="232">
        <v>13</v>
      </c>
      <c r="E34" s="232">
        <v>0</v>
      </c>
      <c r="F34" s="232">
        <v>13</v>
      </c>
      <c r="G34" s="99"/>
    </row>
    <row r="35" spans="1:7" ht="15.6" customHeight="1">
      <c r="B35" s="117"/>
      <c r="C35" s="117" t="s">
        <v>33</v>
      </c>
      <c r="D35" s="232">
        <v>111</v>
      </c>
      <c r="E35" s="232">
        <v>103</v>
      </c>
      <c r="F35" s="232">
        <v>8</v>
      </c>
      <c r="G35" s="99"/>
    </row>
    <row r="36" spans="1:7" ht="15.6" customHeight="1">
      <c r="B36" s="117"/>
      <c r="C36" s="117" t="s">
        <v>34</v>
      </c>
      <c r="D36" s="232">
        <v>16</v>
      </c>
      <c r="E36" s="232">
        <v>0</v>
      </c>
      <c r="F36" s="232">
        <v>16</v>
      </c>
      <c r="G36" s="99"/>
    </row>
    <row r="37" spans="1:7" ht="15.6" customHeight="1">
      <c r="B37" s="118"/>
      <c r="C37" s="118" t="s">
        <v>35</v>
      </c>
      <c r="D37" s="232">
        <v>27</v>
      </c>
      <c r="E37" s="232">
        <v>25</v>
      </c>
      <c r="F37" s="232">
        <v>2</v>
      </c>
      <c r="G37" s="106"/>
    </row>
    <row r="38" spans="1:7" ht="15.6" customHeight="1">
      <c r="A38" s="13"/>
      <c r="B38" s="107"/>
      <c r="C38" s="107" t="s">
        <v>114</v>
      </c>
      <c r="D38" s="241">
        <v>443</v>
      </c>
      <c r="E38" s="242">
        <v>318</v>
      </c>
      <c r="F38" s="242">
        <v>125</v>
      </c>
      <c r="G38" s="110"/>
    </row>
    <row r="39" spans="1:7" ht="15.6" customHeight="1">
      <c r="B39" s="121"/>
      <c r="C39" s="121" t="s">
        <v>115</v>
      </c>
      <c r="D39" s="232">
        <v>82</v>
      </c>
      <c r="E39" s="232">
        <v>0</v>
      </c>
      <c r="F39" s="232">
        <v>82</v>
      </c>
      <c r="G39" s="123"/>
    </row>
    <row r="40" spans="1:7" ht="15.6" customHeight="1">
      <c r="B40" s="117"/>
      <c r="C40" s="117" t="s">
        <v>49</v>
      </c>
      <c r="D40" s="232">
        <v>338</v>
      </c>
      <c r="E40" s="232">
        <v>305</v>
      </c>
      <c r="F40" s="232">
        <v>33</v>
      </c>
      <c r="G40" s="99"/>
    </row>
    <row r="41" spans="1:7" ht="15.6" customHeight="1">
      <c r="B41" s="117"/>
      <c r="C41" s="117" t="s">
        <v>116</v>
      </c>
      <c r="D41" s="232">
        <v>10</v>
      </c>
      <c r="E41" s="232">
        <v>0</v>
      </c>
      <c r="F41" s="232">
        <v>10</v>
      </c>
      <c r="G41" s="99"/>
    </row>
    <row r="42" spans="1:7" ht="15.6" customHeight="1">
      <c r="B42" s="118"/>
      <c r="C42" s="118" t="s">
        <v>51</v>
      </c>
      <c r="D42" s="232">
        <v>13</v>
      </c>
      <c r="E42" s="232">
        <v>13</v>
      </c>
      <c r="F42" s="232">
        <v>0</v>
      </c>
      <c r="G42" s="106"/>
    </row>
    <row r="43" spans="1:7" ht="15.6" customHeight="1">
      <c r="B43" s="107"/>
      <c r="C43" s="107" t="s">
        <v>15</v>
      </c>
      <c r="D43" s="237">
        <v>7985</v>
      </c>
      <c r="E43" s="237">
        <v>7985</v>
      </c>
      <c r="F43" s="242">
        <v>0</v>
      </c>
      <c r="G43" s="110"/>
    </row>
    <row r="44" spans="1:7" ht="15.6" customHeight="1">
      <c r="B44" s="117"/>
      <c r="C44" s="117" t="s">
        <v>153</v>
      </c>
      <c r="D44" s="236">
        <v>910</v>
      </c>
      <c r="E44" s="236">
        <v>910</v>
      </c>
      <c r="F44" s="232">
        <v>0</v>
      </c>
      <c r="G44" s="99"/>
    </row>
    <row r="45" spans="1:7" ht="15.6" customHeight="1">
      <c r="B45" s="117"/>
      <c r="C45" s="117" t="s">
        <v>37</v>
      </c>
      <c r="D45" s="236">
        <v>7051</v>
      </c>
      <c r="E45" s="236">
        <v>7051</v>
      </c>
      <c r="F45" s="232">
        <v>0</v>
      </c>
      <c r="G45" s="99"/>
    </row>
    <row r="46" spans="1:7" ht="15.6" customHeight="1">
      <c r="B46" s="118"/>
      <c r="C46" s="118" t="s">
        <v>155</v>
      </c>
      <c r="D46" s="232">
        <v>24</v>
      </c>
      <c r="E46" s="232">
        <v>24</v>
      </c>
      <c r="F46" s="232">
        <v>0</v>
      </c>
      <c r="G46" s="106"/>
    </row>
    <row r="47" spans="1:7" ht="15.6" customHeight="1">
      <c r="A47" s="13"/>
      <c r="B47" s="114"/>
      <c r="C47" s="114" t="s">
        <v>52</v>
      </c>
      <c r="D47" s="239">
        <v>3096</v>
      </c>
      <c r="E47" s="239">
        <v>3096</v>
      </c>
      <c r="F47" s="240">
        <v>0</v>
      </c>
      <c r="G47" s="116"/>
    </row>
    <row r="48" spans="1:7" ht="15.6" customHeight="1">
      <c r="A48" s="13"/>
      <c r="B48" s="114"/>
      <c r="C48" s="114" t="s">
        <v>117</v>
      </c>
      <c r="D48" s="240">
        <v>23</v>
      </c>
      <c r="E48" s="240">
        <v>23</v>
      </c>
      <c r="F48" s="240">
        <v>0</v>
      </c>
      <c r="G48" s="116"/>
    </row>
    <row r="49" spans="1:7" ht="15.6" customHeight="1">
      <c r="A49" s="13"/>
      <c r="B49" s="107"/>
      <c r="C49" s="107" t="s">
        <v>16</v>
      </c>
      <c r="D49" s="241">
        <v>49</v>
      </c>
      <c r="E49" s="242">
        <v>35</v>
      </c>
      <c r="F49" s="242">
        <v>14</v>
      </c>
      <c r="G49" s="110"/>
    </row>
    <row r="50" spans="1:7" ht="15.6" customHeight="1">
      <c r="B50" s="97"/>
      <c r="C50" s="97" t="s">
        <v>158</v>
      </c>
      <c r="D50" s="232">
        <v>1</v>
      </c>
      <c r="E50" s="232">
        <v>0</v>
      </c>
      <c r="F50" s="232">
        <v>1</v>
      </c>
      <c r="G50" s="99"/>
    </row>
    <row r="51" spans="1:7" ht="15.6" customHeight="1">
      <c r="B51" s="97"/>
      <c r="C51" s="97" t="s">
        <v>118</v>
      </c>
      <c r="D51" s="232">
        <v>25</v>
      </c>
      <c r="E51" s="232">
        <v>20</v>
      </c>
      <c r="F51" s="232">
        <v>5</v>
      </c>
      <c r="G51" s="99"/>
    </row>
    <row r="52" spans="1:7" ht="15.6" customHeight="1">
      <c r="B52" s="105"/>
      <c r="C52" s="105" t="s">
        <v>142</v>
      </c>
      <c r="D52" s="232">
        <v>23</v>
      </c>
      <c r="E52" s="232">
        <v>15</v>
      </c>
      <c r="F52" s="232">
        <v>8</v>
      </c>
      <c r="G52" s="106"/>
    </row>
    <row r="53" spans="1:7" ht="15.6" customHeight="1">
      <c r="A53" s="13"/>
      <c r="B53" s="107"/>
      <c r="C53" s="107" t="s">
        <v>17</v>
      </c>
      <c r="D53" s="241">
        <v>134</v>
      </c>
      <c r="E53" s="242">
        <v>109</v>
      </c>
      <c r="F53" s="242">
        <v>25</v>
      </c>
      <c r="G53" s="110"/>
    </row>
    <row r="54" spans="1:7" ht="15.6" customHeight="1">
      <c r="B54" s="97"/>
      <c r="C54" s="97" t="s">
        <v>160</v>
      </c>
      <c r="D54" s="232">
        <v>1</v>
      </c>
      <c r="E54" s="232">
        <v>0</v>
      </c>
      <c r="F54" s="232">
        <v>1</v>
      </c>
      <c r="G54" s="99"/>
    </row>
    <row r="55" spans="1:7" ht="15.6" customHeight="1">
      <c r="B55" s="97"/>
      <c r="C55" s="97" t="s">
        <v>39</v>
      </c>
      <c r="D55" s="232">
        <v>66</v>
      </c>
      <c r="E55" s="232">
        <v>61</v>
      </c>
      <c r="F55" s="232">
        <v>5</v>
      </c>
      <c r="G55" s="99"/>
    </row>
    <row r="56" spans="1:7" ht="15.6" customHeight="1">
      <c r="B56" s="105"/>
      <c r="C56" s="105" t="s">
        <v>40</v>
      </c>
      <c r="D56" s="232">
        <v>67</v>
      </c>
      <c r="E56" s="232">
        <v>48</v>
      </c>
      <c r="F56" s="232">
        <v>19</v>
      </c>
      <c r="G56" s="106"/>
    </row>
    <row r="57" spans="1:7" ht="15.6" customHeight="1" thickBot="1">
      <c r="B57" s="124"/>
      <c r="C57" s="124" t="s">
        <v>119</v>
      </c>
      <c r="D57" s="243">
        <v>5214</v>
      </c>
      <c r="E57" s="243">
        <v>5214</v>
      </c>
      <c r="F57" s="244">
        <v>0</v>
      </c>
      <c r="G57" s="126"/>
    </row>
    <row r="58" spans="1:7" s="13" customFormat="1" ht="3" customHeight="1">
      <c r="B58" s="127"/>
      <c r="C58" s="97"/>
      <c r="D58" s="128"/>
      <c r="E58" s="128"/>
      <c r="F58" s="128"/>
      <c r="G58" s="129"/>
    </row>
    <row r="59" spans="1:7" s="5" customFormat="1" ht="11.25" customHeight="1">
      <c r="B59" s="130" t="s">
        <v>100</v>
      </c>
      <c r="C59" s="131"/>
      <c r="D59" s="132"/>
      <c r="E59" s="132"/>
      <c r="F59" s="133"/>
      <c r="G59" s="80"/>
    </row>
    <row r="60" spans="1:7" s="4" customFormat="1" ht="11.25">
      <c r="B60" s="134" t="s">
        <v>101</v>
      </c>
      <c r="C60" s="135"/>
      <c r="D60" s="136"/>
      <c r="E60" s="136"/>
      <c r="F60" s="137"/>
      <c r="G60" s="138"/>
    </row>
    <row r="61" spans="1:7" s="4" customFormat="1" ht="11.25" customHeight="1">
      <c r="B61" s="134" t="s">
        <v>102</v>
      </c>
      <c r="C61" s="139"/>
      <c r="D61" s="136"/>
      <c r="E61" s="132"/>
      <c r="F61" s="140"/>
      <c r="G61" s="79"/>
    </row>
    <row r="62" spans="1:7" s="4" customFormat="1" ht="14.1" customHeight="1">
      <c r="B62" s="134" t="s">
        <v>103</v>
      </c>
      <c r="C62" s="139"/>
      <c r="D62" s="136"/>
      <c r="E62" s="132"/>
      <c r="F62" s="140"/>
      <c r="G62" s="79"/>
    </row>
    <row r="63" spans="1:7" s="4" customFormat="1" ht="14.1" customHeight="1">
      <c r="B63" s="134" t="s">
        <v>104</v>
      </c>
      <c r="C63" s="139"/>
      <c r="D63" s="136"/>
      <c r="E63" s="132"/>
      <c r="F63" s="140"/>
      <c r="G63" s="79"/>
    </row>
    <row r="64" spans="1:7" s="17" customFormat="1" ht="17.100000000000001" customHeight="1">
      <c r="A64" s="4"/>
      <c r="B64" s="3"/>
      <c r="C64" s="16"/>
      <c r="D64" s="15"/>
      <c r="E64" s="14"/>
      <c r="F64" s="15"/>
      <c r="G64" s="4"/>
    </row>
    <row r="65" spans="4:6" ht="17.100000000000001" customHeight="1">
      <c r="D65" s="18"/>
      <c r="E65" s="19"/>
      <c r="F65" s="18"/>
    </row>
    <row r="66" spans="4:6" ht="17.100000000000001" customHeight="1">
      <c r="D66" s="18"/>
      <c r="E66" s="19"/>
      <c r="F66" s="18"/>
    </row>
  </sheetData>
  <mergeCells count="2">
    <mergeCell ref="B1:G1"/>
    <mergeCell ref="B2:G2"/>
  </mergeCells>
  <phoneticPr fontId="17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75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66"/>
  <sheetViews>
    <sheetView showGridLines="0" zoomScale="85" zoomScaleNormal="85" workbookViewId="0">
      <selection activeCell="D11" sqref="D11"/>
    </sheetView>
  </sheetViews>
  <sheetFormatPr defaultColWidth="1.7109375" defaultRowHeight="17.100000000000001" customHeight="1"/>
  <cols>
    <col min="1" max="1" width="2.28515625" style="10" customWidth="1"/>
    <col min="2" max="2" width="2.28515625" style="20" customWidth="1"/>
    <col min="3" max="3" width="29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2.28515625" style="10" customWidth="1"/>
    <col min="8" max="255" width="9.140625" style="9" customWidth="1"/>
    <col min="256" max="16384" width="1.7109375" style="9"/>
  </cols>
  <sheetData>
    <row r="1" spans="2:7" s="1" customFormat="1" ht="21.95" customHeight="1">
      <c r="B1" s="249" t="s">
        <v>105</v>
      </c>
      <c r="C1" s="249"/>
      <c r="D1" s="249"/>
      <c r="E1" s="249"/>
      <c r="F1" s="249"/>
      <c r="G1" s="249"/>
    </row>
    <row r="2" spans="2:7" s="2" customFormat="1" ht="15" customHeight="1">
      <c r="B2" s="250" t="s">
        <v>181</v>
      </c>
      <c r="C2" s="250"/>
      <c r="D2" s="250"/>
      <c r="E2" s="250"/>
      <c r="F2" s="250"/>
      <c r="G2" s="250"/>
    </row>
    <row r="3" spans="2:7" s="4" customFormat="1" ht="11.1" customHeight="1" thickBot="1">
      <c r="B3" s="77"/>
      <c r="C3" s="78"/>
      <c r="D3" s="79"/>
      <c r="E3" s="80"/>
      <c r="F3" s="81" t="s">
        <v>54</v>
      </c>
      <c r="G3" s="81"/>
    </row>
    <row r="4" spans="2:7" s="6" customFormat="1" ht="15.6" customHeight="1">
      <c r="B4" s="82"/>
      <c r="C4" s="83" t="s">
        <v>95</v>
      </c>
      <c r="D4" s="84" t="s">
        <v>55</v>
      </c>
      <c r="E4" s="84" t="s">
        <v>56</v>
      </c>
      <c r="F4" s="84" t="s">
        <v>57</v>
      </c>
      <c r="G4" s="85"/>
    </row>
    <row r="5" spans="2:7" s="7" customFormat="1" ht="20.100000000000001" customHeight="1">
      <c r="B5" s="86"/>
      <c r="C5" s="87" t="s">
        <v>106</v>
      </c>
      <c r="D5" s="199">
        <f>SUM(D7,D11,D15,D21,D22,D23,D24,D28,D31,D32,D33,D38,D43,D47,D48,D49,D53,D57)</f>
        <v>41944</v>
      </c>
      <c r="E5" s="199">
        <f t="shared" ref="E5:F5" si="0">SUM(E7,E11,E15,E21,E22,E23,E24,E28,E31,E32,E33,E38,E43,E47,E48,E49,E53,E57)</f>
        <v>27403</v>
      </c>
      <c r="F5" s="199">
        <f t="shared" si="0"/>
        <v>14541</v>
      </c>
      <c r="G5" s="89"/>
    </row>
    <row r="6" spans="2:7" s="8" customFormat="1" ht="15" customHeight="1" thickBot="1">
      <c r="B6" s="90"/>
      <c r="C6" s="91" t="s">
        <v>107</v>
      </c>
      <c r="D6" s="197">
        <v>-3016</v>
      </c>
      <c r="E6" s="197">
        <v>-1440</v>
      </c>
      <c r="F6" s="197">
        <v>-1576</v>
      </c>
      <c r="G6" s="93"/>
    </row>
    <row r="7" spans="2:7" ht="15.6" customHeight="1" thickTop="1">
      <c r="B7" s="94"/>
      <c r="C7" s="94" t="s">
        <v>108</v>
      </c>
      <c r="D7" s="231">
        <v>44</v>
      </c>
      <c r="E7" s="231">
        <v>0</v>
      </c>
      <c r="F7" s="231">
        <v>44</v>
      </c>
      <c r="G7" s="96"/>
    </row>
    <row r="8" spans="2:7" ht="15.6" customHeight="1">
      <c r="B8" s="97"/>
      <c r="C8" s="97" t="s">
        <v>0</v>
      </c>
      <c r="D8" s="232">
        <v>38</v>
      </c>
      <c r="E8" s="232">
        <v>0</v>
      </c>
      <c r="F8" s="232">
        <v>38</v>
      </c>
      <c r="G8" s="99"/>
    </row>
    <row r="9" spans="2:7" ht="15.6" customHeight="1">
      <c r="B9" s="97"/>
      <c r="C9" s="97" t="s">
        <v>1</v>
      </c>
      <c r="D9" s="232">
        <v>2</v>
      </c>
      <c r="E9" s="232">
        <v>0</v>
      </c>
      <c r="F9" s="232">
        <v>2</v>
      </c>
      <c r="G9" s="99"/>
    </row>
    <row r="10" spans="2:7" ht="15.6" customHeight="1">
      <c r="B10" s="97"/>
      <c r="C10" s="97" t="s">
        <v>2</v>
      </c>
      <c r="D10" s="232">
        <v>4</v>
      </c>
      <c r="E10" s="232">
        <v>0</v>
      </c>
      <c r="F10" s="232">
        <v>4</v>
      </c>
      <c r="G10" s="100"/>
    </row>
    <row r="11" spans="2:7" ht="15.6" customHeight="1">
      <c r="B11" s="101"/>
      <c r="C11" s="101" t="s">
        <v>3</v>
      </c>
      <c r="D11" s="245">
        <v>400</v>
      </c>
      <c r="E11" s="234">
        <v>0</v>
      </c>
      <c r="F11" s="234">
        <v>400</v>
      </c>
      <c r="G11" s="104"/>
    </row>
    <row r="12" spans="2:7" ht="15.6" customHeight="1">
      <c r="B12" s="97"/>
      <c r="C12" s="97" t="s">
        <v>0</v>
      </c>
      <c r="D12" s="232">
        <v>234</v>
      </c>
      <c r="E12" s="232">
        <v>0</v>
      </c>
      <c r="F12" s="232">
        <v>234</v>
      </c>
      <c r="G12" s="99"/>
    </row>
    <row r="13" spans="2:7" ht="15.6" customHeight="1">
      <c r="B13" s="97"/>
      <c r="C13" s="97" t="s">
        <v>1</v>
      </c>
      <c r="D13" s="232">
        <v>31</v>
      </c>
      <c r="E13" s="232">
        <v>0</v>
      </c>
      <c r="F13" s="232">
        <v>31</v>
      </c>
      <c r="G13" s="99"/>
    </row>
    <row r="14" spans="2:7" ht="15.6" customHeight="1">
      <c r="B14" s="105"/>
      <c r="C14" s="105" t="s">
        <v>2</v>
      </c>
      <c r="D14" s="232">
        <v>135</v>
      </c>
      <c r="E14" s="232">
        <v>0</v>
      </c>
      <c r="F14" s="232">
        <v>135</v>
      </c>
      <c r="G14" s="106"/>
    </row>
    <row r="15" spans="2:7" ht="15.6" customHeight="1">
      <c r="B15" s="107"/>
      <c r="C15" s="107" t="s">
        <v>109</v>
      </c>
      <c r="D15" s="237">
        <v>13379</v>
      </c>
      <c r="E15" s="238">
        <v>4980</v>
      </c>
      <c r="F15" s="238">
        <v>8399</v>
      </c>
      <c r="G15" s="110"/>
    </row>
    <row r="16" spans="2:7" ht="15.6" customHeight="1">
      <c r="B16" s="97"/>
      <c r="C16" s="97" t="s">
        <v>4</v>
      </c>
      <c r="D16" s="236">
        <v>1412</v>
      </c>
      <c r="E16" s="232">
        <v>0</v>
      </c>
      <c r="F16" s="236">
        <v>1412</v>
      </c>
      <c r="G16" s="99"/>
    </row>
    <row r="17" spans="1:7" ht="15.6" customHeight="1">
      <c r="B17" s="97"/>
      <c r="C17" s="97" t="s">
        <v>5</v>
      </c>
      <c r="D17" s="236">
        <v>7921</v>
      </c>
      <c r="E17" s="236">
        <v>2549</v>
      </c>
      <c r="F17" s="236">
        <v>5372</v>
      </c>
      <c r="G17" s="99"/>
    </row>
    <row r="18" spans="1:7" ht="15.6" customHeight="1">
      <c r="B18" s="97"/>
      <c r="C18" s="97" t="s">
        <v>6</v>
      </c>
      <c r="D18" s="232">
        <v>644</v>
      </c>
      <c r="E18" s="232">
        <v>0</v>
      </c>
      <c r="F18" s="232">
        <v>644</v>
      </c>
      <c r="G18" s="99"/>
    </row>
    <row r="19" spans="1:7" ht="15.6" customHeight="1">
      <c r="B19" s="97"/>
      <c r="C19" s="97" t="s">
        <v>7</v>
      </c>
      <c r="D19" s="236">
        <v>3402</v>
      </c>
      <c r="E19" s="236">
        <v>2431</v>
      </c>
      <c r="F19" s="232">
        <v>971</v>
      </c>
      <c r="G19" s="99"/>
    </row>
    <row r="20" spans="1:7" s="12" customFormat="1" ht="12">
      <c r="A20" s="11"/>
      <c r="B20" s="111"/>
      <c r="C20" s="111" t="s">
        <v>110</v>
      </c>
      <c r="D20" s="198">
        <v>-3016</v>
      </c>
      <c r="E20" s="198">
        <v>-1440</v>
      </c>
      <c r="F20" s="198">
        <v>-1576</v>
      </c>
      <c r="G20" s="113"/>
    </row>
    <row r="21" spans="1:7" ht="15.6" customHeight="1">
      <c r="B21" s="114"/>
      <c r="C21" s="114" t="s">
        <v>8</v>
      </c>
      <c r="D21" s="239">
        <v>5051</v>
      </c>
      <c r="E21" s="240">
        <v>497</v>
      </c>
      <c r="F21" s="239">
        <v>4554</v>
      </c>
      <c r="G21" s="116"/>
    </row>
    <row r="22" spans="1:7" ht="15.6" customHeight="1">
      <c r="B22" s="114"/>
      <c r="C22" s="114" t="s">
        <v>9</v>
      </c>
      <c r="D22" s="239">
        <v>1790</v>
      </c>
      <c r="E22" s="239">
        <v>1491</v>
      </c>
      <c r="F22" s="240">
        <v>299</v>
      </c>
      <c r="G22" s="116"/>
    </row>
    <row r="23" spans="1:7" ht="15.6" customHeight="1">
      <c r="B23" s="114"/>
      <c r="C23" s="114" t="s">
        <v>26</v>
      </c>
      <c r="D23" s="240">
        <v>26</v>
      </c>
      <c r="E23" s="240">
        <v>0</v>
      </c>
      <c r="F23" s="240">
        <v>26</v>
      </c>
      <c r="G23" s="116"/>
    </row>
    <row r="24" spans="1:7" ht="15.6" customHeight="1">
      <c r="B24" s="107"/>
      <c r="C24" s="107" t="s">
        <v>10</v>
      </c>
      <c r="D24" s="241">
        <v>23</v>
      </c>
      <c r="E24" s="242">
        <v>4</v>
      </c>
      <c r="F24" s="242">
        <v>19</v>
      </c>
      <c r="G24" s="110"/>
    </row>
    <row r="25" spans="1:7" ht="15.6" customHeight="1">
      <c r="A25" s="13"/>
      <c r="B25" s="117"/>
      <c r="C25" s="117" t="s">
        <v>111</v>
      </c>
      <c r="D25" s="232">
        <v>1</v>
      </c>
      <c r="E25" s="232">
        <v>0</v>
      </c>
      <c r="F25" s="232">
        <v>1</v>
      </c>
      <c r="G25" s="99"/>
    </row>
    <row r="26" spans="1:7" ht="15.6" customHeight="1">
      <c r="A26" s="13"/>
      <c r="B26" s="117"/>
      <c r="C26" s="117" t="s">
        <v>112</v>
      </c>
      <c r="D26" s="232">
        <v>16</v>
      </c>
      <c r="E26" s="232">
        <v>2</v>
      </c>
      <c r="F26" s="232">
        <v>14</v>
      </c>
      <c r="G26" s="99"/>
    </row>
    <row r="27" spans="1:7" ht="15.6" customHeight="1">
      <c r="A27" s="13"/>
      <c r="B27" s="118"/>
      <c r="C27" s="118" t="s">
        <v>113</v>
      </c>
      <c r="D27" s="232">
        <v>6</v>
      </c>
      <c r="E27" s="232">
        <v>2</v>
      </c>
      <c r="F27" s="232">
        <v>4</v>
      </c>
      <c r="G27" s="106"/>
    </row>
    <row r="28" spans="1:7" ht="15.6" customHeight="1">
      <c r="B28" s="107"/>
      <c r="C28" s="107" t="s">
        <v>167</v>
      </c>
      <c r="D28" s="241">
        <v>505</v>
      </c>
      <c r="E28" s="242">
        <v>101</v>
      </c>
      <c r="F28" s="242">
        <v>404</v>
      </c>
      <c r="G28" s="110"/>
    </row>
    <row r="29" spans="1:7" ht="15.6" customHeight="1">
      <c r="B29" s="117"/>
      <c r="C29" s="117" t="s">
        <v>11</v>
      </c>
      <c r="D29" s="232">
        <v>296</v>
      </c>
      <c r="E29" s="232">
        <v>0</v>
      </c>
      <c r="F29" s="232">
        <v>296</v>
      </c>
      <c r="G29" s="99"/>
    </row>
    <row r="30" spans="1:7" ht="15.6" customHeight="1">
      <c r="B30" s="119"/>
      <c r="C30" s="119" t="s">
        <v>12</v>
      </c>
      <c r="D30" s="232">
        <v>209</v>
      </c>
      <c r="E30" s="232">
        <v>101</v>
      </c>
      <c r="F30" s="232">
        <v>108</v>
      </c>
      <c r="G30" s="106"/>
    </row>
    <row r="31" spans="1:7" ht="15.6" customHeight="1">
      <c r="B31" s="120"/>
      <c r="C31" s="120" t="s">
        <v>30</v>
      </c>
      <c r="D31" s="240">
        <v>0</v>
      </c>
      <c r="E31" s="240">
        <v>0</v>
      </c>
      <c r="F31" s="240">
        <v>0</v>
      </c>
      <c r="G31" s="116"/>
    </row>
    <row r="32" spans="1:7" ht="15.6" customHeight="1">
      <c r="B32" s="120"/>
      <c r="C32" s="120" t="s">
        <v>13</v>
      </c>
      <c r="D32" s="240">
        <v>35</v>
      </c>
      <c r="E32" s="240">
        <v>1</v>
      </c>
      <c r="F32" s="240">
        <v>34</v>
      </c>
      <c r="G32" s="116"/>
    </row>
    <row r="33" spans="1:7" ht="15.6" customHeight="1">
      <c r="A33" s="13"/>
      <c r="B33" s="107"/>
      <c r="C33" s="107" t="s">
        <v>14</v>
      </c>
      <c r="D33" s="241">
        <v>140</v>
      </c>
      <c r="E33" s="242">
        <v>111</v>
      </c>
      <c r="F33" s="242">
        <v>29</v>
      </c>
      <c r="G33" s="110"/>
    </row>
    <row r="34" spans="1:7" ht="15.6" customHeight="1">
      <c r="B34" s="117"/>
      <c r="C34" s="117" t="s">
        <v>32</v>
      </c>
      <c r="D34" s="232">
        <v>8</v>
      </c>
      <c r="E34" s="232">
        <v>0</v>
      </c>
      <c r="F34" s="232">
        <v>8</v>
      </c>
      <c r="G34" s="99"/>
    </row>
    <row r="35" spans="1:7" ht="15.6" customHeight="1">
      <c r="B35" s="117"/>
      <c r="C35" s="117" t="s">
        <v>33</v>
      </c>
      <c r="D35" s="232">
        <v>107</v>
      </c>
      <c r="E35" s="232">
        <v>100</v>
      </c>
      <c r="F35" s="232">
        <v>7</v>
      </c>
      <c r="G35" s="99"/>
    </row>
    <row r="36" spans="1:7" ht="15.6" customHeight="1">
      <c r="B36" s="117"/>
      <c r="C36" s="117" t="s">
        <v>34</v>
      </c>
      <c r="D36" s="232">
        <v>9</v>
      </c>
      <c r="E36" s="232">
        <v>0</v>
      </c>
      <c r="F36" s="232">
        <v>9</v>
      </c>
      <c r="G36" s="99"/>
    </row>
    <row r="37" spans="1:7" ht="15.6" customHeight="1">
      <c r="B37" s="118"/>
      <c r="C37" s="118" t="s">
        <v>35</v>
      </c>
      <c r="D37" s="232">
        <v>16</v>
      </c>
      <c r="E37" s="232">
        <v>11</v>
      </c>
      <c r="F37" s="232">
        <v>5</v>
      </c>
      <c r="G37" s="106"/>
    </row>
    <row r="38" spans="1:7" ht="15.6" customHeight="1">
      <c r="A38" s="13"/>
      <c r="B38" s="107"/>
      <c r="C38" s="107" t="s">
        <v>114</v>
      </c>
      <c r="D38" s="241">
        <v>526</v>
      </c>
      <c r="E38" s="242">
        <v>396</v>
      </c>
      <c r="F38" s="242">
        <v>130</v>
      </c>
      <c r="G38" s="110"/>
    </row>
    <row r="39" spans="1:7" ht="15.6" customHeight="1">
      <c r="B39" s="121"/>
      <c r="C39" s="121" t="s">
        <v>115</v>
      </c>
      <c r="D39" s="232">
        <v>88</v>
      </c>
      <c r="E39" s="232">
        <v>0</v>
      </c>
      <c r="F39" s="232">
        <v>88</v>
      </c>
      <c r="G39" s="123"/>
    </row>
    <row r="40" spans="1:7" ht="15.6" customHeight="1">
      <c r="B40" s="117"/>
      <c r="C40" s="117" t="s">
        <v>49</v>
      </c>
      <c r="D40" s="232">
        <v>426</v>
      </c>
      <c r="E40" s="232">
        <v>392</v>
      </c>
      <c r="F40" s="232">
        <v>34</v>
      </c>
      <c r="G40" s="99"/>
    </row>
    <row r="41" spans="1:7" ht="15.6" customHeight="1">
      <c r="B41" s="117"/>
      <c r="C41" s="117" t="s">
        <v>116</v>
      </c>
      <c r="D41" s="232">
        <v>7</v>
      </c>
      <c r="E41" s="232">
        <v>0</v>
      </c>
      <c r="F41" s="232">
        <v>7</v>
      </c>
      <c r="G41" s="99"/>
    </row>
    <row r="42" spans="1:7" ht="15.6" customHeight="1">
      <c r="B42" s="118"/>
      <c r="C42" s="118" t="s">
        <v>51</v>
      </c>
      <c r="D42" s="232">
        <v>5</v>
      </c>
      <c r="E42" s="232">
        <v>4</v>
      </c>
      <c r="F42" s="232">
        <v>1</v>
      </c>
      <c r="G42" s="106"/>
    </row>
    <row r="43" spans="1:7" ht="15.6" customHeight="1">
      <c r="B43" s="107"/>
      <c r="C43" s="107" t="s">
        <v>15</v>
      </c>
      <c r="D43" s="237">
        <v>10371</v>
      </c>
      <c r="E43" s="238">
        <v>10371</v>
      </c>
      <c r="F43" s="242">
        <v>0</v>
      </c>
      <c r="G43" s="110"/>
    </row>
    <row r="44" spans="1:7" ht="15.6" customHeight="1">
      <c r="B44" s="117"/>
      <c r="C44" s="117" t="s">
        <v>153</v>
      </c>
      <c r="D44" s="236">
        <v>1967</v>
      </c>
      <c r="E44" s="236">
        <v>1967</v>
      </c>
      <c r="F44" s="232">
        <v>0</v>
      </c>
      <c r="G44" s="99"/>
    </row>
    <row r="45" spans="1:7" ht="15.6" customHeight="1">
      <c r="B45" s="117"/>
      <c r="C45" s="117" t="s">
        <v>37</v>
      </c>
      <c r="D45" s="236">
        <v>8371</v>
      </c>
      <c r="E45" s="236">
        <v>8371</v>
      </c>
      <c r="F45" s="232">
        <v>0</v>
      </c>
      <c r="G45" s="99"/>
    </row>
    <row r="46" spans="1:7" ht="15.6" customHeight="1">
      <c r="B46" s="118"/>
      <c r="C46" s="118" t="s">
        <v>155</v>
      </c>
      <c r="D46" s="232">
        <v>33</v>
      </c>
      <c r="E46" s="232">
        <v>33</v>
      </c>
      <c r="F46" s="232">
        <v>0</v>
      </c>
      <c r="G46" s="106"/>
    </row>
    <row r="47" spans="1:7" ht="15.6" customHeight="1">
      <c r="A47" s="13"/>
      <c r="B47" s="114"/>
      <c r="C47" s="114" t="s">
        <v>52</v>
      </c>
      <c r="D47" s="239">
        <v>1906</v>
      </c>
      <c r="E47" s="239">
        <v>1906</v>
      </c>
      <c r="F47" s="240">
        <v>0</v>
      </c>
      <c r="G47" s="116"/>
    </row>
    <row r="48" spans="1:7" ht="15.6" customHeight="1">
      <c r="A48" s="13"/>
      <c r="B48" s="114"/>
      <c r="C48" s="114" t="s">
        <v>117</v>
      </c>
      <c r="D48" s="240">
        <v>11</v>
      </c>
      <c r="E48" s="240">
        <v>11</v>
      </c>
      <c r="F48" s="240">
        <v>0</v>
      </c>
      <c r="G48" s="116"/>
    </row>
    <row r="49" spans="1:7" ht="15.6" customHeight="1">
      <c r="A49" s="13"/>
      <c r="B49" s="107"/>
      <c r="C49" s="107" t="s">
        <v>16</v>
      </c>
      <c r="D49" s="241">
        <v>107</v>
      </c>
      <c r="E49" s="242">
        <v>78</v>
      </c>
      <c r="F49" s="242">
        <v>29</v>
      </c>
      <c r="G49" s="110"/>
    </row>
    <row r="50" spans="1:7" ht="15.6" customHeight="1">
      <c r="B50" s="97"/>
      <c r="C50" s="97" t="s">
        <v>158</v>
      </c>
      <c r="D50" s="232">
        <v>4</v>
      </c>
      <c r="E50" s="232">
        <v>0</v>
      </c>
      <c r="F50" s="232">
        <v>4</v>
      </c>
      <c r="G50" s="99"/>
    </row>
    <row r="51" spans="1:7" ht="15.6" customHeight="1">
      <c r="B51" s="97"/>
      <c r="C51" s="97" t="s">
        <v>118</v>
      </c>
      <c r="D51" s="232">
        <v>62</v>
      </c>
      <c r="E51" s="232">
        <v>46</v>
      </c>
      <c r="F51" s="232">
        <v>16</v>
      </c>
      <c r="G51" s="99"/>
    </row>
    <row r="52" spans="1:7" ht="15.6" customHeight="1">
      <c r="B52" s="105"/>
      <c r="C52" s="105" t="s">
        <v>142</v>
      </c>
      <c r="D52" s="232">
        <v>41</v>
      </c>
      <c r="E52" s="232">
        <v>32</v>
      </c>
      <c r="F52" s="232">
        <v>9</v>
      </c>
      <c r="G52" s="106"/>
    </row>
    <row r="53" spans="1:7" ht="15.6" customHeight="1">
      <c r="A53" s="13"/>
      <c r="B53" s="107"/>
      <c r="C53" s="107" t="s">
        <v>17</v>
      </c>
      <c r="D53" s="241">
        <v>385</v>
      </c>
      <c r="E53" s="242">
        <v>211</v>
      </c>
      <c r="F53" s="242">
        <v>174</v>
      </c>
      <c r="G53" s="110"/>
    </row>
    <row r="54" spans="1:7" ht="15.6" customHeight="1">
      <c r="B54" s="97"/>
      <c r="C54" s="97" t="s">
        <v>160</v>
      </c>
      <c r="D54" s="232">
        <v>5</v>
      </c>
      <c r="E54" s="232">
        <v>0</v>
      </c>
      <c r="F54" s="232">
        <v>5</v>
      </c>
      <c r="G54" s="99"/>
    </row>
    <row r="55" spans="1:7" ht="15.6" customHeight="1">
      <c r="B55" s="97"/>
      <c r="C55" s="97" t="s">
        <v>39</v>
      </c>
      <c r="D55" s="232">
        <v>75</v>
      </c>
      <c r="E55" s="232">
        <v>57</v>
      </c>
      <c r="F55" s="232">
        <v>18</v>
      </c>
      <c r="G55" s="99"/>
    </row>
    <row r="56" spans="1:7" ht="15.6" customHeight="1">
      <c r="B56" s="105"/>
      <c r="C56" s="105" t="s">
        <v>40</v>
      </c>
      <c r="D56" s="232">
        <v>305</v>
      </c>
      <c r="E56" s="232">
        <v>154</v>
      </c>
      <c r="F56" s="232">
        <v>151</v>
      </c>
      <c r="G56" s="106"/>
    </row>
    <row r="57" spans="1:7" ht="15.6" customHeight="1" thickBot="1">
      <c r="B57" s="124"/>
      <c r="C57" s="124" t="s">
        <v>119</v>
      </c>
      <c r="D57" s="243">
        <v>7245</v>
      </c>
      <c r="E57" s="243">
        <v>7245</v>
      </c>
      <c r="F57" s="244">
        <v>0</v>
      </c>
      <c r="G57" s="126"/>
    </row>
    <row r="58" spans="1:7" s="13" customFormat="1" ht="4.5" customHeight="1">
      <c r="B58" s="127"/>
      <c r="C58" s="97"/>
      <c r="D58" s="128"/>
      <c r="E58" s="128"/>
      <c r="F58" s="128"/>
      <c r="G58" s="129"/>
    </row>
    <row r="59" spans="1:7" s="5" customFormat="1" ht="11.25" customHeight="1">
      <c r="B59" s="130" t="s">
        <v>100</v>
      </c>
      <c r="C59" s="131"/>
      <c r="D59" s="132"/>
      <c r="E59" s="132"/>
      <c r="F59" s="133"/>
      <c r="G59" s="80"/>
    </row>
    <row r="60" spans="1:7" s="4" customFormat="1" ht="11.25">
      <c r="B60" s="134" t="s">
        <v>101</v>
      </c>
      <c r="C60" s="135"/>
      <c r="D60" s="136"/>
      <c r="E60" s="136"/>
      <c r="F60" s="137"/>
      <c r="G60" s="138"/>
    </row>
    <row r="61" spans="1:7" s="4" customFormat="1" ht="11.25" customHeight="1">
      <c r="B61" s="134" t="s">
        <v>102</v>
      </c>
      <c r="C61" s="139"/>
      <c r="D61" s="136"/>
      <c r="E61" s="132"/>
      <c r="F61" s="140"/>
      <c r="G61" s="79"/>
    </row>
    <row r="62" spans="1:7" s="4" customFormat="1" ht="14.1" customHeight="1">
      <c r="B62" s="134" t="s">
        <v>103</v>
      </c>
      <c r="C62" s="139"/>
      <c r="D62" s="136"/>
      <c r="E62" s="132"/>
      <c r="F62" s="140"/>
      <c r="G62" s="79"/>
    </row>
    <row r="63" spans="1:7" s="4" customFormat="1" ht="14.1" customHeight="1">
      <c r="B63" s="134" t="s">
        <v>104</v>
      </c>
      <c r="C63" s="139"/>
      <c r="D63" s="136"/>
      <c r="E63" s="132"/>
      <c r="F63" s="140"/>
      <c r="G63" s="79"/>
    </row>
    <row r="64" spans="1:7" s="17" customFormat="1" ht="17.100000000000001" customHeight="1">
      <c r="A64" s="4"/>
      <c r="B64" s="3"/>
      <c r="C64" s="16"/>
      <c r="D64" s="15"/>
      <c r="E64" s="14"/>
      <c r="F64" s="15"/>
      <c r="G64" s="4"/>
    </row>
    <row r="65" spans="4:6" ht="17.100000000000001" customHeight="1">
      <c r="D65" s="18"/>
      <c r="E65" s="19"/>
      <c r="F65" s="18"/>
    </row>
    <row r="66" spans="4:6" ht="17.100000000000001" customHeight="1">
      <c r="D66" s="18"/>
      <c r="E66" s="19"/>
      <c r="F66" s="18"/>
    </row>
  </sheetData>
  <mergeCells count="2">
    <mergeCell ref="B1:G1"/>
    <mergeCell ref="B2:G2"/>
  </mergeCells>
  <phoneticPr fontId="17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75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66"/>
  <sheetViews>
    <sheetView showGridLines="0" zoomScale="85" zoomScaleNormal="85" workbookViewId="0">
      <selection activeCell="E14" sqref="E14"/>
    </sheetView>
  </sheetViews>
  <sheetFormatPr defaultColWidth="1.7109375" defaultRowHeight="17.100000000000001" customHeight="1"/>
  <cols>
    <col min="1" max="1" width="2.28515625" style="10" customWidth="1"/>
    <col min="2" max="2" width="2.28515625" style="20" customWidth="1"/>
    <col min="3" max="3" width="29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2.28515625" style="10" customWidth="1"/>
    <col min="8" max="255" width="9.140625" style="9" customWidth="1"/>
    <col min="256" max="16384" width="1.7109375" style="9"/>
  </cols>
  <sheetData>
    <row r="1" spans="2:7" s="1" customFormat="1" ht="21.95" customHeight="1">
      <c r="B1" s="249" t="s">
        <v>105</v>
      </c>
      <c r="C1" s="249"/>
      <c r="D1" s="249"/>
      <c r="E1" s="249"/>
      <c r="F1" s="249"/>
      <c r="G1" s="249"/>
    </row>
    <row r="2" spans="2:7" s="2" customFormat="1" ht="15" customHeight="1">
      <c r="B2" s="250" t="s">
        <v>182</v>
      </c>
      <c r="C2" s="250"/>
      <c r="D2" s="250"/>
      <c r="E2" s="250"/>
      <c r="F2" s="250"/>
      <c r="G2" s="250"/>
    </row>
    <row r="3" spans="2:7" s="4" customFormat="1" ht="11.1" customHeight="1" thickBot="1">
      <c r="B3" s="77"/>
      <c r="C3" s="78"/>
      <c r="D3" s="79"/>
      <c r="E3" s="80"/>
      <c r="F3" s="81" t="s">
        <v>54</v>
      </c>
      <c r="G3" s="81"/>
    </row>
    <row r="4" spans="2:7" s="6" customFormat="1" ht="15.6" customHeight="1">
      <c r="B4" s="82"/>
      <c r="C4" s="83" t="s">
        <v>95</v>
      </c>
      <c r="D4" s="84" t="s">
        <v>55</v>
      </c>
      <c r="E4" s="84" t="s">
        <v>56</v>
      </c>
      <c r="F4" s="84" t="s">
        <v>57</v>
      </c>
      <c r="G4" s="85"/>
    </row>
    <row r="5" spans="2:7" s="7" customFormat="1" ht="20.100000000000001" customHeight="1">
      <c r="B5" s="86"/>
      <c r="C5" s="87" t="s">
        <v>106</v>
      </c>
      <c r="D5" s="199">
        <f>SUM(D7,D11,D15,D21,D22,D23,D24,D28,D31,D32,D33,D38,D43,D47,D48,D49,D53,D57)</f>
        <v>23514</v>
      </c>
      <c r="E5" s="199">
        <f t="shared" ref="E5:F5" si="0">SUM(E7,E11,E15,E21,E22,E23,E24,E28,E31,E32,E33,E38,E43,E47,E48,E49,E53,E57)</f>
        <v>15741</v>
      </c>
      <c r="F5" s="199">
        <f t="shared" si="0"/>
        <v>7773</v>
      </c>
      <c r="G5" s="89"/>
    </row>
    <row r="6" spans="2:7" s="8" customFormat="1" ht="15" customHeight="1" thickBot="1">
      <c r="B6" s="90"/>
      <c r="C6" s="91" t="s">
        <v>107</v>
      </c>
      <c r="D6" s="197">
        <v>-1818</v>
      </c>
      <c r="E6" s="197">
        <v>-974</v>
      </c>
      <c r="F6" s="197">
        <v>-844</v>
      </c>
      <c r="G6" s="93"/>
    </row>
    <row r="7" spans="2:7" ht="15.6" customHeight="1" thickTop="1">
      <c r="B7" s="94"/>
      <c r="C7" s="94" t="s">
        <v>108</v>
      </c>
      <c r="D7" s="231">
        <v>18</v>
      </c>
      <c r="E7" s="231">
        <v>0</v>
      </c>
      <c r="F7" s="231">
        <v>18</v>
      </c>
      <c r="G7" s="96"/>
    </row>
    <row r="8" spans="2:7" ht="15.6" customHeight="1">
      <c r="B8" s="97"/>
      <c r="C8" s="97" t="s">
        <v>0</v>
      </c>
      <c r="D8" s="232">
        <v>18</v>
      </c>
      <c r="E8" s="232">
        <v>0</v>
      </c>
      <c r="F8" s="232">
        <v>18</v>
      </c>
      <c r="G8" s="99"/>
    </row>
    <row r="9" spans="2:7" ht="15.6" customHeight="1">
      <c r="B9" s="97"/>
      <c r="C9" s="97" t="s">
        <v>1</v>
      </c>
      <c r="D9" s="232">
        <v>0</v>
      </c>
      <c r="E9" s="232">
        <v>0</v>
      </c>
      <c r="F9" s="232">
        <v>0</v>
      </c>
      <c r="G9" s="99"/>
    </row>
    <row r="10" spans="2:7" ht="15.6" customHeight="1">
      <c r="B10" s="97"/>
      <c r="C10" s="97" t="s">
        <v>2</v>
      </c>
      <c r="D10" s="232">
        <v>0</v>
      </c>
      <c r="E10" s="232">
        <v>0</v>
      </c>
      <c r="F10" s="232">
        <v>0</v>
      </c>
      <c r="G10" s="100"/>
    </row>
    <row r="11" spans="2:7" ht="15.6" customHeight="1">
      <c r="B11" s="101"/>
      <c r="C11" s="101" t="s">
        <v>3</v>
      </c>
      <c r="D11" s="245">
        <v>213</v>
      </c>
      <c r="E11" s="234">
        <v>0</v>
      </c>
      <c r="F11" s="234">
        <v>213</v>
      </c>
      <c r="G11" s="104"/>
    </row>
    <row r="12" spans="2:7" ht="15.6" customHeight="1">
      <c r="B12" s="97"/>
      <c r="C12" s="97" t="s">
        <v>0</v>
      </c>
      <c r="D12" s="232">
        <v>106</v>
      </c>
      <c r="E12" s="232">
        <v>0</v>
      </c>
      <c r="F12" s="232">
        <v>106</v>
      </c>
      <c r="G12" s="99"/>
    </row>
    <row r="13" spans="2:7" ht="15.6" customHeight="1">
      <c r="B13" s="97"/>
      <c r="C13" s="97" t="s">
        <v>1</v>
      </c>
      <c r="D13" s="232">
        <v>24</v>
      </c>
      <c r="E13" s="232">
        <v>0</v>
      </c>
      <c r="F13" s="232">
        <v>24</v>
      </c>
      <c r="G13" s="99"/>
    </row>
    <row r="14" spans="2:7" ht="15.6" customHeight="1">
      <c r="B14" s="105"/>
      <c r="C14" s="105" t="s">
        <v>2</v>
      </c>
      <c r="D14" s="232">
        <v>83</v>
      </c>
      <c r="E14" s="232">
        <v>0</v>
      </c>
      <c r="F14" s="232">
        <v>83</v>
      </c>
      <c r="G14" s="106"/>
    </row>
    <row r="15" spans="2:7" ht="15.6" customHeight="1">
      <c r="B15" s="107"/>
      <c r="C15" s="107" t="s">
        <v>109</v>
      </c>
      <c r="D15" s="237">
        <v>8384</v>
      </c>
      <c r="E15" s="238">
        <v>3436</v>
      </c>
      <c r="F15" s="238">
        <v>4948</v>
      </c>
      <c r="G15" s="110"/>
    </row>
    <row r="16" spans="2:7" ht="15.6" customHeight="1">
      <c r="B16" s="97"/>
      <c r="C16" s="97" t="s">
        <v>4</v>
      </c>
      <c r="D16" s="236">
        <v>1005</v>
      </c>
      <c r="E16" s="232">
        <v>0</v>
      </c>
      <c r="F16" s="236">
        <v>1005</v>
      </c>
      <c r="G16" s="99"/>
    </row>
    <row r="17" spans="1:7" ht="15.6" customHeight="1">
      <c r="B17" s="97"/>
      <c r="C17" s="97" t="s">
        <v>5</v>
      </c>
      <c r="D17" s="236">
        <v>4557</v>
      </c>
      <c r="E17" s="236">
        <v>1694</v>
      </c>
      <c r="F17" s="236">
        <v>2863</v>
      </c>
      <c r="G17" s="99"/>
    </row>
    <row r="18" spans="1:7" ht="15.6" customHeight="1">
      <c r="B18" s="97"/>
      <c r="C18" s="97" t="s">
        <v>6</v>
      </c>
      <c r="D18" s="232">
        <v>427</v>
      </c>
      <c r="E18" s="232">
        <v>0</v>
      </c>
      <c r="F18" s="232">
        <v>427</v>
      </c>
      <c r="G18" s="99"/>
    </row>
    <row r="19" spans="1:7" ht="15.6" customHeight="1">
      <c r="B19" s="97"/>
      <c r="C19" s="97" t="s">
        <v>7</v>
      </c>
      <c r="D19" s="236">
        <v>2395</v>
      </c>
      <c r="E19" s="236">
        <v>1742</v>
      </c>
      <c r="F19" s="232">
        <v>653</v>
      </c>
      <c r="G19" s="99"/>
    </row>
    <row r="20" spans="1:7" s="12" customFormat="1" ht="12">
      <c r="A20" s="11"/>
      <c r="B20" s="111"/>
      <c r="C20" s="111" t="s">
        <v>110</v>
      </c>
      <c r="D20" s="198">
        <v>-1818</v>
      </c>
      <c r="E20" s="198">
        <v>-974</v>
      </c>
      <c r="F20" s="198">
        <v>-844</v>
      </c>
      <c r="G20" s="113"/>
    </row>
    <row r="21" spans="1:7" ht="15.6" customHeight="1">
      <c r="B21" s="114"/>
      <c r="C21" s="114" t="s">
        <v>8</v>
      </c>
      <c r="D21" s="239">
        <v>1420</v>
      </c>
      <c r="E21" s="240">
        <v>189</v>
      </c>
      <c r="F21" s="239">
        <v>1231</v>
      </c>
      <c r="G21" s="116"/>
    </row>
    <row r="22" spans="1:7" ht="15.6" customHeight="1">
      <c r="B22" s="114"/>
      <c r="C22" s="114" t="s">
        <v>9</v>
      </c>
      <c r="D22" s="239">
        <v>1019</v>
      </c>
      <c r="E22" s="240">
        <v>862</v>
      </c>
      <c r="F22" s="240">
        <v>157</v>
      </c>
      <c r="G22" s="116"/>
    </row>
    <row r="23" spans="1:7" ht="15.6" customHeight="1">
      <c r="B23" s="114"/>
      <c r="C23" s="114" t="s">
        <v>26</v>
      </c>
      <c r="D23" s="240">
        <v>3</v>
      </c>
      <c r="E23" s="240">
        <v>0</v>
      </c>
      <c r="F23" s="240">
        <v>3</v>
      </c>
      <c r="G23" s="116"/>
    </row>
    <row r="24" spans="1:7" ht="15.6" customHeight="1">
      <c r="B24" s="107"/>
      <c r="C24" s="107" t="s">
        <v>10</v>
      </c>
      <c r="D24" s="241">
        <v>15</v>
      </c>
      <c r="E24" s="242">
        <v>9</v>
      </c>
      <c r="F24" s="242">
        <v>6</v>
      </c>
      <c r="G24" s="110"/>
    </row>
    <row r="25" spans="1:7" ht="15.6" customHeight="1">
      <c r="A25" s="13"/>
      <c r="B25" s="117"/>
      <c r="C25" s="117" t="s">
        <v>111</v>
      </c>
      <c r="D25" s="232">
        <v>1</v>
      </c>
      <c r="E25" s="232">
        <v>0</v>
      </c>
      <c r="F25" s="232">
        <v>1</v>
      </c>
      <c r="G25" s="99"/>
    </row>
    <row r="26" spans="1:7" ht="15.6" customHeight="1">
      <c r="A26" s="13"/>
      <c r="B26" s="117"/>
      <c r="C26" s="117" t="s">
        <v>112</v>
      </c>
      <c r="D26" s="232">
        <v>5</v>
      </c>
      <c r="E26" s="232">
        <v>3</v>
      </c>
      <c r="F26" s="232">
        <v>2</v>
      </c>
      <c r="G26" s="99"/>
    </row>
    <row r="27" spans="1:7" ht="15.6" customHeight="1">
      <c r="A27" s="13"/>
      <c r="B27" s="118"/>
      <c r="C27" s="118" t="s">
        <v>113</v>
      </c>
      <c r="D27" s="232">
        <v>9</v>
      </c>
      <c r="E27" s="232">
        <v>6</v>
      </c>
      <c r="F27" s="232">
        <v>3</v>
      </c>
      <c r="G27" s="106"/>
    </row>
    <row r="28" spans="1:7" ht="15.6" customHeight="1">
      <c r="B28" s="107"/>
      <c r="C28" s="107" t="s">
        <v>167</v>
      </c>
      <c r="D28" s="241">
        <v>623</v>
      </c>
      <c r="E28" s="242">
        <v>105</v>
      </c>
      <c r="F28" s="242">
        <v>518</v>
      </c>
      <c r="G28" s="110"/>
    </row>
    <row r="29" spans="1:7" ht="15.6" customHeight="1">
      <c r="B29" s="117"/>
      <c r="C29" s="117" t="s">
        <v>11</v>
      </c>
      <c r="D29" s="232">
        <v>409</v>
      </c>
      <c r="E29" s="232">
        <v>0</v>
      </c>
      <c r="F29" s="232">
        <v>409</v>
      </c>
      <c r="G29" s="99"/>
    </row>
    <row r="30" spans="1:7" ht="15.6" customHeight="1">
      <c r="B30" s="119"/>
      <c r="C30" s="119" t="s">
        <v>12</v>
      </c>
      <c r="D30" s="232">
        <v>214</v>
      </c>
      <c r="E30" s="232">
        <v>105</v>
      </c>
      <c r="F30" s="232">
        <v>109</v>
      </c>
      <c r="G30" s="106"/>
    </row>
    <row r="31" spans="1:7" ht="15.6" customHeight="1">
      <c r="B31" s="120"/>
      <c r="C31" s="120" t="s">
        <v>30</v>
      </c>
      <c r="D31" s="240">
        <v>1</v>
      </c>
      <c r="E31" s="240">
        <v>0</v>
      </c>
      <c r="F31" s="240">
        <v>1</v>
      </c>
      <c r="G31" s="116"/>
    </row>
    <row r="32" spans="1:7" ht="15.6" customHeight="1">
      <c r="B32" s="120"/>
      <c r="C32" s="120" t="s">
        <v>13</v>
      </c>
      <c r="D32" s="240">
        <v>8</v>
      </c>
      <c r="E32" s="240">
        <v>0</v>
      </c>
      <c r="F32" s="240">
        <v>8</v>
      </c>
      <c r="G32" s="116"/>
    </row>
    <row r="33" spans="1:7" ht="15.6" customHeight="1">
      <c r="A33" s="13"/>
      <c r="B33" s="107"/>
      <c r="C33" s="107" t="s">
        <v>14</v>
      </c>
      <c r="D33" s="241">
        <v>107</v>
      </c>
      <c r="E33" s="242">
        <v>74</v>
      </c>
      <c r="F33" s="242">
        <v>33</v>
      </c>
      <c r="G33" s="110"/>
    </row>
    <row r="34" spans="1:7" ht="15.6" customHeight="1">
      <c r="B34" s="117"/>
      <c r="C34" s="117" t="s">
        <v>32</v>
      </c>
      <c r="D34" s="232">
        <v>5</v>
      </c>
      <c r="E34" s="232">
        <v>0</v>
      </c>
      <c r="F34" s="232">
        <v>5</v>
      </c>
      <c r="G34" s="99"/>
    </row>
    <row r="35" spans="1:7" ht="15.6" customHeight="1">
      <c r="B35" s="117"/>
      <c r="C35" s="117" t="s">
        <v>33</v>
      </c>
      <c r="D35" s="232">
        <v>61</v>
      </c>
      <c r="E35" s="232">
        <v>54</v>
      </c>
      <c r="F35" s="232">
        <v>7</v>
      </c>
      <c r="G35" s="99"/>
    </row>
    <row r="36" spans="1:7" ht="15.6" customHeight="1">
      <c r="B36" s="117"/>
      <c r="C36" s="117" t="s">
        <v>34</v>
      </c>
      <c r="D36" s="232">
        <v>14</v>
      </c>
      <c r="E36" s="232">
        <v>0</v>
      </c>
      <c r="F36" s="232">
        <v>14</v>
      </c>
      <c r="G36" s="99"/>
    </row>
    <row r="37" spans="1:7" ht="15.6" customHeight="1">
      <c r="B37" s="118"/>
      <c r="C37" s="118" t="s">
        <v>35</v>
      </c>
      <c r="D37" s="232">
        <v>27</v>
      </c>
      <c r="E37" s="232">
        <v>20</v>
      </c>
      <c r="F37" s="232">
        <v>7</v>
      </c>
      <c r="G37" s="106"/>
    </row>
    <row r="38" spans="1:7" ht="15.6" customHeight="1">
      <c r="A38" s="13"/>
      <c r="B38" s="107"/>
      <c r="C38" s="107" t="s">
        <v>114</v>
      </c>
      <c r="D38" s="241">
        <v>272</v>
      </c>
      <c r="E38" s="242">
        <v>197</v>
      </c>
      <c r="F38" s="242">
        <v>75</v>
      </c>
      <c r="G38" s="110"/>
    </row>
    <row r="39" spans="1:7" ht="15.6" customHeight="1">
      <c r="B39" s="121"/>
      <c r="C39" s="121" t="s">
        <v>115</v>
      </c>
      <c r="D39" s="232">
        <v>43</v>
      </c>
      <c r="E39" s="232">
        <v>0</v>
      </c>
      <c r="F39" s="232">
        <v>43</v>
      </c>
      <c r="G39" s="123"/>
    </row>
    <row r="40" spans="1:7" ht="15.6" customHeight="1">
      <c r="B40" s="117"/>
      <c r="C40" s="117" t="s">
        <v>49</v>
      </c>
      <c r="D40" s="232">
        <v>210</v>
      </c>
      <c r="E40" s="232">
        <v>192</v>
      </c>
      <c r="F40" s="232">
        <v>18</v>
      </c>
      <c r="G40" s="99"/>
    </row>
    <row r="41" spans="1:7" ht="15.6" customHeight="1">
      <c r="B41" s="117"/>
      <c r="C41" s="117" t="s">
        <v>116</v>
      </c>
      <c r="D41" s="232">
        <v>14</v>
      </c>
      <c r="E41" s="232">
        <v>0</v>
      </c>
      <c r="F41" s="232">
        <v>14</v>
      </c>
      <c r="G41" s="99"/>
    </row>
    <row r="42" spans="1:7" ht="15.6" customHeight="1">
      <c r="B42" s="118"/>
      <c r="C42" s="118" t="s">
        <v>51</v>
      </c>
      <c r="D42" s="232">
        <v>5</v>
      </c>
      <c r="E42" s="232">
        <v>5</v>
      </c>
      <c r="F42" s="232">
        <v>0</v>
      </c>
      <c r="G42" s="106"/>
    </row>
    <row r="43" spans="1:7" ht="15.6" customHeight="1">
      <c r="B43" s="107"/>
      <c r="C43" s="107" t="s">
        <v>15</v>
      </c>
      <c r="D43" s="237">
        <v>4229</v>
      </c>
      <c r="E43" s="238">
        <v>4229</v>
      </c>
      <c r="F43" s="242">
        <v>0</v>
      </c>
      <c r="G43" s="110"/>
    </row>
    <row r="44" spans="1:7" ht="15.6" customHeight="1">
      <c r="B44" s="117"/>
      <c r="C44" s="117" t="s">
        <v>153</v>
      </c>
      <c r="D44" s="232">
        <v>338</v>
      </c>
      <c r="E44" s="232">
        <v>338</v>
      </c>
      <c r="F44" s="232">
        <v>0</v>
      </c>
      <c r="G44" s="99"/>
    </row>
    <row r="45" spans="1:7" ht="15.6" customHeight="1">
      <c r="B45" s="117"/>
      <c r="C45" s="117" t="s">
        <v>37</v>
      </c>
      <c r="D45" s="236">
        <v>3888</v>
      </c>
      <c r="E45" s="236">
        <v>3888</v>
      </c>
      <c r="F45" s="232">
        <v>0</v>
      </c>
      <c r="G45" s="99"/>
    </row>
    <row r="46" spans="1:7" ht="15.6" customHeight="1">
      <c r="B46" s="118"/>
      <c r="C46" s="118" t="s">
        <v>155</v>
      </c>
      <c r="D46" s="232">
        <v>3</v>
      </c>
      <c r="E46" s="232">
        <v>3</v>
      </c>
      <c r="F46" s="232">
        <v>0</v>
      </c>
      <c r="G46" s="106"/>
    </row>
    <row r="47" spans="1:7" ht="15.6" customHeight="1">
      <c r="A47" s="13"/>
      <c r="B47" s="114"/>
      <c r="C47" s="114" t="s">
        <v>52</v>
      </c>
      <c r="D47" s="239">
        <v>1549</v>
      </c>
      <c r="E47" s="239">
        <v>1549</v>
      </c>
      <c r="F47" s="240">
        <v>0</v>
      </c>
      <c r="G47" s="116"/>
    </row>
    <row r="48" spans="1:7" ht="15.6" customHeight="1">
      <c r="A48" s="13"/>
      <c r="B48" s="114"/>
      <c r="C48" s="114" t="s">
        <v>117</v>
      </c>
      <c r="D48" s="240">
        <v>2</v>
      </c>
      <c r="E48" s="240">
        <v>2</v>
      </c>
      <c r="F48" s="240">
        <v>0</v>
      </c>
      <c r="G48" s="116"/>
    </row>
    <row r="49" spans="1:7" ht="15.6" customHeight="1">
      <c r="A49" s="13"/>
      <c r="B49" s="107"/>
      <c r="C49" s="107" t="s">
        <v>16</v>
      </c>
      <c r="D49" s="237">
        <v>1973</v>
      </c>
      <c r="E49" s="238">
        <v>1421</v>
      </c>
      <c r="F49" s="242">
        <v>552</v>
      </c>
      <c r="G49" s="110"/>
    </row>
    <row r="50" spans="1:7" ht="15.6" customHeight="1">
      <c r="B50" s="97"/>
      <c r="C50" s="97" t="s">
        <v>158</v>
      </c>
      <c r="D50" s="232">
        <v>79</v>
      </c>
      <c r="E50" s="232">
        <v>0</v>
      </c>
      <c r="F50" s="232">
        <v>79</v>
      </c>
      <c r="G50" s="99"/>
    </row>
    <row r="51" spans="1:7" ht="15.6" customHeight="1">
      <c r="B51" s="97"/>
      <c r="C51" s="97" t="s">
        <v>118</v>
      </c>
      <c r="D51" s="236">
        <v>1401</v>
      </c>
      <c r="E51" s="236">
        <v>1022</v>
      </c>
      <c r="F51" s="232">
        <v>379</v>
      </c>
      <c r="G51" s="99"/>
    </row>
    <row r="52" spans="1:7" ht="15.6" customHeight="1">
      <c r="B52" s="105"/>
      <c r="C52" s="105" t="s">
        <v>142</v>
      </c>
      <c r="D52" s="232">
        <v>493</v>
      </c>
      <c r="E52" s="232">
        <v>399</v>
      </c>
      <c r="F52" s="232">
        <v>94</v>
      </c>
      <c r="G52" s="106"/>
    </row>
    <row r="53" spans="1:7" ht="15.6" customHeight="1">
      <c r="A53" s="13"/>
      <c r="B53" s="107"/>
      <c r="C53" s="107" t="s">
        <v>17</v>
      </c>
      <c r="D53" s="241">
        <v>76</v>
      </c>
      <c r="E53" s="242">
        <v>66</v>
      </c>
      <c r="F53" s="242">
        <v>10</v>
      </c>
      <c r="G53" s="110"/>
    </row>
    <row r="54" spans="1:7" ht="15.6" customHeight="1">
      <c r="B54" s="97"/>
      <c r="C54" s="97" t="s">
        <v>160</v>
      </c>
      <c r="D54" s="232">
        <v>0</v>
      </c>
      <c r="E54" s="232">
        <v>0</v>
      </c>
      <c r="F54" s="232">
        <v>0</v>
      </c>
      <c r="G54" s="99"/>
    </row>
    <row r="55" spans="1:7" ht="15.6" customHeight="1">
      <c r="B55" s="97"/>
      <c r="C55" s="97" t="s">
        <v>39</v>
      </c>
      <c r="D55" s="232">
        <v>34</v>
      </c>
      <c r="E55" s="232">
        <v>30</v>
      </c>
      <c r="F55" s="232">
        <v>4</v>
      </c>
      <c r="G55" s="99"/>
    </row>
    <row r="56" spans="1:7" ht="15.6" customHeight="1">
      <c r="B56" s="105"/>
      <c r="C56" s="105" t="s">
        <v>40</v>
      </c>
      <c r="D56" s="232">
        <v>42</v>
      </c>
      <c r="E56" s="232">
        <v>36</v>
      </c>
      <c r="F56" s="232">
        <v>6</v>
      </c>
      <c r="G56" s="106"/>
    </row>
    <row r="57" spans="1:7" ht="15.6" customHeight="1" thickBot="1">
      <c r="B57" s="124"/>
      <c r="C57" s="124" t="s">
        <v>119</v>
      </c>
      <c r="D57" s="243">
        <v>3602</v>
      </c>
      <c r="E57" s="243">
        <v>3602</v>
      </c>
      <c r="F57" s="244">
        <v>0</v>
      </c>
      <c r="G57" s="126"/>
    </row>
    <row r="58" spans="1:7" s="13" customFormat="1" ht="3.75" customHeight="1">
      <c r="B58" s="127"/>
      <c r="C58" s="97"/>
      <c r="D58" s="128"/>
      <c r="E58" s="128"/>
      <c r="F58" s="128"/>
      <c r="G58" s="129"/>
    </row>
    <row r="59" spans="1:7" s="5" customFormat="1" ht="11.25" customHeight="1">
      <c r="B59" s="130" t="s">
        <v>100</v>
      </c>
      <c r="C59" s="131"/>
      <c r="D59" s="132"/>
      <c r="E59" s="132"/>
      <c r="F59" s="133"/>
      <c r="G59" s="80"/>
    </row>
    <row r="60" spans="1:7" s="4" customFormat="1" ht="11.25">
      <c r="B60" s="134" t="s">
        <v>101</v>
      </c>
      <c r="C60" s="135"/>
      <c r="D60" s="136"/>
      <c r="E60" s="136"/>
      <c r="F60" s="137"/>
      <c r="G60" s="138"/>
    </row>
    <row r="61" spans="1:7" s="4" customFormat="1" ht="11.25" customHeight="1">
      <c r="B61" s="134" t="s">
        <v>102</v>
      </c>
      <c r="C61" s="139"/>
      <c r="D61" s="136"/>
      <c r="E61" s="132"/>
      <c r="F61" s="140"/>
      <c r="G61" s="79"/>
    </row>
    <row r="62" spans="1:7" s="4" customFormat="1" ht="14.1" customHeight="1">
      <c r="B62" s="134" t="s">
        <v>103</v>
      </c>
      <c r="C62" s="139"/>
      <c r="D62" s="136"/>
      <c r="E62" s="132"/>
      <c r="F62" s="140"/>
      <c r="G62" s="79"/>
    </row>
    <row r="63" spans="1:7" s="4" customFormat="1" ht="14.1" customHeight="1">
      <c r="B63" s="134" t="s">
        <v>104</v>
      </c>
      <c r="C63" s="139"/>
      <c r="D63" s="136"/>
      <c r="E63" s="132"/>
      <c r="F63" s="140"/>
      <c r="G63" s="79"/>
    </row>
    <row r="64" spans="1:7" s="17" customFormat="1" ht="17.100000000000001" customHeight="1">
      <c r="A64" s="4"/>
      <c r="B64" s="3"/>
      <c r="C64" s="16"/>
      <c r="D64" s="15"/>
      <c r="E64" s="14"/>
      <c r="F64" s="15"/>
      <c r="G64" s="4"/>
    </row>
    <row r="65" spans="4:6" ht="17.100000000000001" customHeight="1">
      <c r="D65" s="18"/>
      <c r="E65" s="19"/>
      <c r="F65" s="18"/>
    </row>
    <row r="66" spans="4:6" ht="17.100000000000001" customHeight="1">
      <c r="D66" s="18"/>
      <c r="E66" s="19"/>
      <c r="F66" s="18"/>
    </row>
  </sheetData>
  <mergeCells count="2">
    <mergeCell ref="B1:G1"/>
    <mergeCell ref="B2:G2"/>
  </mergeCells>
  <phoneticPr fontId="17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75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H66"/>
  <sheetViews>
    <sheetView showGridLines="0" zoomScale="85" zoomScaleNormal="85" workbookViewId="0">
      <selection activeCell="E10" sqref="E10"/>
    </sheetView>
  </sheetViews>
  <sheetFormatPr defaultColWidth="1.7109375" defaultRowHeight="17.100000000000001" customHeight="1"/>
  <cols>
    <col min="1" max="1" width="2.28515625" style="10" customWidth="1"/>
    <col min="2" max="2" width="2.28515625" style="20" customWidth="1"/>
    <col min="3" max="3" width="29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2.28515625" style="10" customWidth="1"/>
    <col min="8" max="255" width="9.140625" style="9" customWidth="1"/>
    <col min="256" max="16384" width="1.7109375" style="9"/>
  </cols>
  <sheetData>
    <row r="1" spans="2:7" s="1" customFormat="1" ht="21.95" customHeight="1">
      <c r="B1" s="249" t="s">
        <v>105</v>
      </c>
      <c r="C1" s="249"/>
      <c r="D1" s="249"/>
      <c r="E1" s="249"/>
      <c r="F1" s="249"/>
      <c r="G1" s="249"/>
    </row>
    <row r="2" spans="2:7" s="2" customFormat="1" ht="15" customHeight="1">
      <c r="B2" s="250" t="s">
        <v>183</v>
      </c>
      <c r="C2" s="250"/>
      <c r="D2" s="250"/>
      <c r="E2" s="250"/>
      <c r="F2" s="250"/>
      <c r="G2" s="250"/>
    </row>
    <row r="3" spans="2:7" s="4" customFormat="1" ht="11.1" customHeight="1" thickBot="1">
      <c r="B3" s="77"/>
      <c r="C3" s="78"/>
      <c r="D3" s="79"/>
      <c r="E3" s="80"/>
      <c r="F3" s="81" t="s">
        <v>54</v>
      </c>
      <c r="G3" s="81"/>
    </row>
    <row r="4" spans="2:7" s="6" customFormat="1" ht="15.6" customHeight="1">
      <c r="B4" s="82"/>
      <c r="C4" s="83" t="s">
        <v>95</v>
      </c>
      <c r="D4" s="84" t="s">
        <v>55</v>
      </c>
      <c r="E4" s="84" t="s">
        <v>56</v>
      </c>
      <c r="F4" s="84" t="s">
        <v>57</v>
      </c>
      <c r="G4" s="85"/>
    </row>
    <row r="5" spans="2:7" s="7" customFormat="1" ht="20.100000000000001" customHeight="1">
      <c r="B5" s="86"/>
      <c r="C5" s="87" t="s">
        <v>106</v>
      </c>
      <c r="D5" s="88">
        <f>SUM(D7,D11,D15,D21,D22,D23,D24,D28,D31,D32,D33,D38,D43,D47,D48,D49,D53,D57)</f>
        <v>24752</v>
      </c>
      <c r="E5" s="88">
        <f t="shared" ref="E5:F5" si="0">SUM(E7,E11,E15,E21,E22,E23,E24,E28,E31,E32,E33,E38,E43,E47,E48,E49,E53,E57)</f>
        <v>16924</v>
      </c>
      <c r="F5" s="88">
        <f t="shared" si="0"/>
        <v>7828</v>
      </c>
      <c r="G5" s="89"/>
    </row>
    <row r="6" spans="2:7" s="8" customFormat="1" ht="15" customHeight="1" thickBot="1">
      <c r="B6" s="90"/>
      <c r="C6" s="91" t="s">
        <v>107</v>
      </c>
      <c r="D6" s="92">
        <v>-1815</v>
      </c>
      <c r="E6" s="92">
        <v>-934</v>
      </c>
      <c r="F6" s="92">
        <v>-881</v>
      </c>
      <c r="G6" s="93"/>
    </row>
    <row r="7" spans="2:7" ht="15.6" customHeight="1" thickTop="1">
      <c r="B7" s="94"/>
      <c r="C7" s="94" t="s">
        <v>108</v>
      </c>
      <c r="D7" s="231">
        <v>28</v>
      </c>
      <c r="E7" s="231">
        <v>0</v>
      </c>
      <c r="F7" s="231">
        <v>28</v>
      </c>
      <c r="G7" s="96"/>
    </row>
    <row r="8" spans="2:7" ht="15.6" customHeight="1">
      <c r="B8" s="97"/>
      <c r="C8" s="97" t="s">
        <v>0</v>
      </c>
      <c r="D8" s="232">
        <v>23</v>
      </c>
      <c r="E8" s="232">
        <v>0</v>
      </c>
      <c r="F8" s="232">
        <v>23</v>
      </c>
      <c r="G8" s="99"/>
    </row>
    <row r="9" spans="2:7" ht="15.6" customHeight="1">
      <c r="B9" s="97"/>
      <c r="C9" s="97" t="s">
        <v>1</v>
      </c>
      <c r="D9" s="232">
        <v>0</v>
      </c>
      <c r="E9" s="232">
        <v>0</v>
      </c>
      <c r="F9" s="232">
        <v>0</v>
      </c>
      <c r="G9" s="99"/>
    </row>
    <row r="10" spans="2:7" ht="15.6" customHeight="1">
      <c r="B10" s="97"/>
      <c r="C10" s="97" t="s">
        <v>2</v>
      </c>
      <c r="D10" s="232">
        <v>5</v>
      </c>
      <c r="E10" s="232">
        <v>0</v>
      </c>
      <c r="F10" s="232">
        <v>5</v>
      </c>
      <c r="G10" s="100"/>
    </row>
    <row r="11" spans="2:7" ht="15.6" customHeight="1">
      <c r="B11" s="101"/>
      <c r="C11" s="101" t="s">
        <v>3</v>
      </c>
      <c r="D11" s="245">
        <v>183</v>
      </c>
      <c r="E11" s="234">
        <v>0</v>
      </c>
      <c r="F11" s="234">
        <v>183</v>
      </c>
      <c r="G11" s="104"/>
    </row>
    <row r="12" spans="2:7" ht="15.6" customHeight="1">
      <c r="B12" s="97"/>
      <c r="C12" s="97" t="s">
        <v>0</v>
      </c>
      <c r="D12" s="232">
        <v>96</v>
      </c>
      <c r="E12" s="232">
        <v>0</v>
      </c>
      <c r="F12" s="232">
        <v>96</v>
      </c>
      <c r="G12" s="99"/>
    </row>
    <row r="13" spans="2:7" ht="15.6" customHeight="1">
      <c r="B13" s="97"/>
      <c r="C13" s="97" t="s">
        <v>1</v>
      </c>
      <c r="D13" s="232">
        <v>16</v>
      </c>
      <c r="E13" s="232">
        <v>0</v>
      </c>
      <c r="F13" s="232">
        <v>16</v>
      </c>
      <c r="G13" s="99"/>
    </row>
    <row r="14" spans="2:7" ht="15.6" customHeight="1">
      <c r="B14" s="105"/>
      <c r="C14" s="105" t="s">
        <v>2</v>
      </c>
      <c r="D14" s="232">
        <v>71</v>
      </c>
      <c r="E14" s="232">
        <v>0</v>
      </c>
      <c r="F14" s="232">
        <v>71</v>
      </c>
      <c r="G14" s="106"/>
    </row>
    <row r="15" spans="2:7" ht="15.6" customHeight="1">
      <c r="B15" s="107"/>
      <c r="C15" s="107" t="s">
        <v>109</v>
      </c>
      <c r="D15" s="237">
        <v>7646</v>
      </c>
      <c r="E15" s="238">
        <v>2927</v>
      </c>
      <c r="F15" s="238">
        <v>4719</v>
      </c>
      <c r="G15" s="110"/>
    </row>
    <row r="16" spans="2:7" ht="15.6" customHeight="1">
      <c r="B16" s="97"/>
      <c r="C16" s="97" t="s">
        <v>4</v>
      </c>
      <c r="D16" s="232">
        <v>876</v>
      </c>
      <c r="E16" s="232">
        <v>0</v>
      </c>
      <c r="F16" s="232">
        <v>876</v>
      </c>
      <c r="G16" s="99"/>
    </row>
    <row r="17" spans="1:7" ht="15.6" customHeight="1">
      <c r="B17" s="97"/>
      <c r="C17" s="97" t="s">
        <v>5</v>
      </c>
      <c r="D17" s="236">
        <v>4262</v>
      </c>
      <c r="E17" s="236">
        <v>1488</v>
      </c>
      <c r="F17" s="236">
        <v>2774</v>
      </c>
      <c r="G17" s="99"/>
    </row>
    <row r="18" spans="1:7" ht="15.6" customHeight="1">
      <c r="B18" s="97"/>
      <c r="C18" s="97" t="s">
        <v>6</v>
      </c>
      <c r="D18" s="232">
        <v>501</v>
      </c>
      <c r="E18" s="232">
        <v>0</v>
      </c>
      <c r="F18" s="232">
        <v>501</v>
      </c>
      <c r="G18" s="99"/>
    </row>
    <row r="19" spans="1:7" ht="15.6" customHeight="1">
      <c r="B19" s="97"/>
      <c r="C19" s="97" t="s">
        <v>7</v>
      </c>
      <c r="D19" s="236">
        <v>2007</v>
      </c>
      <c r="E19" s="236">
        <v>1439</v>
      </c>
      <c r="F19" s="232">
        <v>568</v>
      </c>
      <c r="G19" s="99"/>
    </row>
    <row r="20" spans="1:7" s="12" customFormat="1" ht="12">
      <c r="A20" s="11"/>
      <c r="B20" s="111"/>
      <c r="C20" s="111" t="s">
        <v>110</v>
      </c>
      <c r="D20" s="198">
        <v>-1815</v>
      </c>
      <c r="E20" s="198">
        <v>-934</v>
      </c>
      <c r="F20" s="198">
        <v>-881</v>
      </c>
      <c r="G20" s="113"/>
    </row>
    <row r="21" spans="1:7" ht="15.6" customHeight="1">
      <c r="B21" s="114"/>
      <c r="C21" s="114" t="s">
        <v>8</v>
      </c>
      <c r="D21" s="239">
        <v>2292</v>
      </c>
      <c r="E21" s="240">
        <v>315</v>
      </c>
      <c r="F21" s="239">
        <v>1977</v>
      </c>
      <c r="G21" s="116"/>
    </row>
    <row r="22" spans="1:7" ht="15.6" customHeight="1">
      <c r="B22" s="114"/>
      <c r="C22" s="114" t="s">
        <v>9</v>
      </c>
      <c r="D22" s="239">
        <v>2009</v>
      </c>
      <c r="E22" s="239">
        <v>1782</v>
      </c>
      <c r="F22" s="240">
        <v>227</v>
      </c>
      <c r="G22" s="116"/>
    </row>
    <row r="23" spans="1:7" ht="15.6" customHeight="1">
      <c r="B23" s="114"/>
      <c r="C23" s="114" t="s">
        <v>26</v>
      </c>
      <c r="D23" s="240">
        <v>0</v>
      </c>
      <c r="E23" s="240">
        <v>0</v>
      </c>
      <c r="F23" s="240">
        <v>0</v>
      </c>
      <c r="G23" s="116"/>
    </row>
    <row r="24" spans="1:7" ht="15.6" customHeight="1">
      <c r="B24" s="107"/>
      <c r="C24" s="107" t="s">
        <v>10</v>
      </c>
      <c r="D24" s="241">
        <v>14</v>
      </c>
      <c r="E24" s="242">
        <v>8</v>
      </c>
      <c r="F24" s="242">
        <v>6</v>
      </c>
      <c r="G24" s="110"/>
    </row>
    <row r="25" spans="1:7" ht="15.6" customHeight="1">
      <c r="A25" s="13"/>
      <c r="B25" s="117"/>
      <c r="C25" s="117" t="s">
        <v>111</v>
      </c>
      <c r="D25" s="232">
        <v>0</v>
      </c>
      <c r="E25" s="232">
        <v>0</v>
      </c>
      <c r="F25" s="232">
        <v>0</v>
      </c>
      <c r="G25" s="99"/>
    </row>
    <row r="26" spans="1:7" ht="15.6" customHeight="1">
      <c r="A26" s="13"/>
      <c r="B26" s="117"/>
      <c r="C26" s="117" t="s">
        <v>112</v>
      </c>
      <c r="D26" s="232">
        <v>4</v>
      </c>
      <c r="E26" s="232">
        <v>2</v>
      </c>
      <c r="F26" s="232">
        <v>2</v>
      </c>
      <c r="G26" s="99"/>
    </row>
    <row r="27" spans="1:7" ht="15.6" customHeight="1">
      <c r="A27" s="13"/>
      <c r="B27" s="118"/>
      <c r="C27" s="118" t="s">
        <v>113</v>
      </c>
      <c r="D27" s="232">
        <v>10</v>
      </c>
      <c r="E27" s="232">
        <v>6</v>
      </c>
      <c r="F27" s="232">
        <v>4</v>
      </c>
      <c r="G27" s="106"/>
    </row>
    <row r="28" spans="1:7" ht="15.6" customHeight="1">
      <c r="B28" s="107"/>
      <c r="C28" s="107" t="s">
        <v>167</v>
      </c>
      <c r="D28" s="241">
        <v>719</v>
      </c>
      <c r="E28" s="242">
        <v>173</v>
      </c>
      <c r="F28" s="242">
        <v>546</v>
      </c>
      <c r="G28" s="110"/>
    </row>
    <row r="29" spans="1:7" ht="15.6" customHeight="1">
      <c r="B29" s="117"/>
      <c r="C29" s="117" t="s">
        <v>11</v>
      </c>
      <c r="D29" s="232">
        <v>395</v>
      </c>
      <c r="E29" s="232">
        <v>0</v>
      </c>
      <c r="F29" s="232">
        <v>395</v>
      </c>
      <c r="G29" s="99"/>
    </row>
    <row r="30" spans="1:7" ht="15.6" customHeight="1">
      <c r="B30" s="119"/>
      <c r="C30" s="119" t="s">
        <v>12</v>
      </c>
      <c r="D30" s="232">
        <v>324</v>
      </c>
      <c r="E30" s="232">
        <v>173</v>
      </c>
      <c r="F30" s="232">
        <v>151</v>
      </c>
      <c r="G30" s="106"/>
    </row>
    <row r="31" spans="1:7" ht="15.6" customHeight="1">
      <c r="B31" s="120"/>
      <c r="C31" s="120" t="s">
        <v>30</v>
      </c>
      <c r="D31" s="240">
        <v>0</v>
      </c>
      <c r="E31" s="240">
        <v>0</v>
      </c>
      <c r="F31" s="240">
        <v>0</v>
      </c>
      <c r="G31" s="116"/>
    </row>
    <row r="32" spans="1:7" ht="15.6" customHeight="1">
      <c r="B32" s="120"/>
      <c r="C32" s="120" t="s">
        <v>13</v>
      </c>
      <c r="D32" s="240">
        <v>8</v>
      </c>
      <c r="E32" s="240">
        <v>0</v>
      </c>
      <c r="F32" s="240">
        <v>8</v>
      </c>
      <c r="G32" s="116"/>
    </row>
    <row r="33" spans="1:7" ht="15.6" customHeight="1">
      <c r="A33" s="13"/>
      <c r="B33" s="107"/>
      <c r="C33" s="107" t="s">
        <v>14</v>
      </c>
      <c r="D33" s="241">
        <v>93</v>
      </c>
      <c r="E33" s="242">
        <v>63</v>
      </c>
      <c r="F33" s="242">
        <v>30</v>
      </c>
      <c r="G33" s="110"/>
    </row>
    <row r="34" spans="1:7" ht="15.6" customHeight="1">
      <c r="B34" s="117"/>
      <c r="C34" s="117" t="s">
        <v>32</v>
      </c>
      <c r="D34" s="232">
        <v>7</v>
      </c>
      <c r="E34" s="232">
        <v>0</v>
      </c>
      <c r="F34" s="232">
        <v>7</v>
      </c>
      <c r="G34" s="99"/>
    </row>
    <row r="35" spans="1:7" ht="15.6" customHeight="1">
      <c r="B35" s="117"/>
      <c r="C35" s="117" t="s">
        <v>33</v>
      </c>
      <c r="D35" s="232">
        <v>56</v>
      </c>
      <c r="E35" s="232">
        <v>49</v>
      </c>
      <c r="F35" s="232">
        <v>7</v>
      </c>
      <c r="G35" s="99"/>
    </row>
    <row r="36" spans="1:7" ht="15.6" customHeight="1">
      <c r="B36" s="117"/>
      <c r="C36" s="117" t="s">
        <v>34</v>
      </c>
      <c r="D36" s="232">
        <v>9</v>
      </c>
      <c r="E36" s="232">
        <v>0</v>
      </c>
      <c r="F36" s="232">
        <v>9</v>
      </c>
      <c r="G36" s="99"/>
    </row>
    <row r="37" spans="1:7" ht="15.6" customHeight="1">
      <c r="B37" s="118"/>
      <c r="C37" s="118" t="s">
        <v>35</v>
      </c>
      <c r="D37" s="232">
        <v>21</v>
      </c>
      <c r="E37" s="232">
        <v>14</v>
      </c>
      <c r="F37" s="232">
        <v>7</v>
      </c>
      <c r="G37" s="106"/>
    </row>
    <row r="38" spans="1:7" ht="15.6" customHeight="1">
      <c r="A38" s="13"/>
      <c r="B38" s="107"/>
      <c r="C38" s="107" t="s">
        <v>114</v>
      </c>
      <c r="D38" s="241">
        <v>289</v>
      </c>
      <c r="E38" s="242">
        <v>217</v>
      </c>
      <c r="F38" s="242">
        <v>72</v>
      </c>
      <c r="G38" s="110"/>
    </row>
    <row r="39" spans="1:7" ht="15.6" customHeight="1">
      <c r="B39" s="121"/>
      <c r="C39" s="121" t="s">
        <v>115</v>
      </c>
      <c r="D39" s="232">
        <v>49</v>
      </c>
      <c r="E39" s="232">
        <v>0</v>
      </c>
      <c r="F39" s="232">
        <v>49</v>
      </c>
      <c r="G39" s="123"/>
    </row>
    <row r="40" spans="1:7" ht="15.6" customHeight="1">
      <c r="B40" s="117"/>
      <c r="C40" s="117" t="s">
        <v>49</v>
      </c>
      <c r="D40" s="232">
        <v>221</v>
      </c>
      <c r="E40" s="232">
        <v>205</v>
      </c>
      <c r="F40" s="232">
        <v>16</v>
      </c>
      <c r="G40" s="99"/>
    </row>
    <row r="41" spans="1:7" ht="15.6" customHeight="1">
      <c r="B41" s="117"/>
      <c r="C41" s="117" t="s">
        <v>116</v>
      </c>
      <c r="D41" s="232">
        <v>7</v>
      </c>
      <c r="E41" s="232">
        <v>0</v>
      </c>
      <c r="F41" s="232">
        <v>7</v>
      </c>
      <c r="G41" s="99"/>
    </row>
    <row r="42" spans="1:7" ht="15.6" customHeight="1">
      <c r="B42" s="118"/>
      <c r="C42" s="118" t="s">
        <v>51</v>
      </c>
      <c r="D42" s="232">
        <v>12</v>
      </c>
      <c r="E42" s="232">
        <v>12</v>
      </c>
      <c r="F42" s="232">
        <v>0</v>
      </c>
      <c r="G42" s="106"/>
    </row>
    <row r="43" spans="1:7" ht="15.6" customHeight="1">
      <c r="B43" s="107"/>
      <c r="C43" s="107" t="s">
        <v>15</v>
      </c>
      <c r="D43" s="237">
        <v>4415</v>
      </c>
      <c r="E43" s="237">
        <v>4415</v>
      </c>
      <c r="F43" s="242">
        <v>0</v>
      </c>
      <c r="G43" s="110"/>
    </row>
    <row r="44" spans="1:7" ht="15.6" customHeight="1">
      <c r="B44" s="117"/>
      <c r="C44" s="117" t="s">
        <v>153</v>
      </c>
      <c r="D44" s="232">
        <v>481</v>
      </c>
      <c r="E44" s="232">
        <v>481</v>
      </c>
      <c r="F44" s="232">
        <v>0</v>
      </c>
      <c r="G44" s="99"/>
    </row>
    <row r="45" spans="1:7" ht="15.6" customHeight="1">
      <c r="B45" s="117"/>
      <c r="C45" s="117" t="s">
        <v>37</v>
      </c>
      <c r="D45" s="236">
        <v>3907</v>
      </c>
      <c r="E45" s="236">
        <v>3907</v>
      </c>
      <c r="F45" s="232">
        <v>0</v>
      </c>
      <c r="G45" s="99"/>
    </row>
    <row r="46" spans="1:7" ht="15.6" customHeight="1">
      <c r="B46" s="118"/>
      <c r="C46" s="118" t="s">
        <v>155</v>
      </c>
      <c r="D46" s="232">
        <v>27</v>
      </c>
      <c r="E46" s="232">
        <v>27</v>
      </c>
      <c r="F46" s="232">
        <v>0</v>
      </c>
      <c r="G46" s="106"/>
    </row>
    <row r="47" spans="1:7" ht="15.6" customHeight="1">
      <c r="A47" s="13"/>
      <c r="B47" s="114"/>
      <c r="C47" s="114" t="s">
        <v>52</v>
      </c>
      <c r="D47" s="239">
        <v>1298</v>
      </c>
      <c r="E47" s="239">
        <v>1298</v>
      </c>
      <c r="F47" s="240">
        <v>0</v>
      </c>
      <c r="G47" s="116"/>
    </row>
    <row r="48" spans="1:7" ht="15.6" customHeight="1">
      <c r="A48" s="13"/>
      <c r="B48" s="114"/>
      <c r="C48" s="114" t="s">
        <v>117</v>
      </c>
      <c r="D48" s="240">
        <v>16</v>
      </c>
      <c r="E48" s="240">
        <v>16</v>
      </c>
      <c r="F48" s="240">
        <v>0</v>
      </c>
      <c r="G48" s="116"/>
    </row>
    <row r="49" spans="1:8" ht="15.6" customHeight="1">
      <c r="A49" s="13"/>
      <c r="B49" s="107"/>
      <c r="C49" s="107" t="s">
        <v>16</v>
      </c>
      <c r="D49" s="241">
        <v>41</v>
      </c>
      <c r="E49" s="242">
        <v>34</v>
      </c>
      <c r="F49" s="242">
        <v>7</v>
      </c>
      <c r="G49" s="110"/>
    </row>
    <row r="50" spans="1:8" ht="15.6" customHeight="1">
      <c r="B50" s="97"/>
      <c r="C50" s="97" t="s">
        <v>158</v>
      </c>
      <c r="D50" s="232">
        <v>0</v>
      </c>
      <c r="E50" s="232">
        <v>0</v>
      </c>
      <c r="F50" s="232">
        <v>0</v>
      </c>
      <c r="G50" s="99"/>
    </row>
    <row r="51" spans="1:8" ht="15.6" customHeight="1">
      <c r="B51" s="97"/>
      <c r="C51" s="97" t="s">
        <v>118</v>
      </c>
      <c r="D51" s="232">
        <v>20</v>
      </c>
      <c r="E51" s="232">
        <v>16</v>
      </c>
      <c r="F51" s="232">
        <v>4</v>
      </c>
      <c r="G51" s="99"/>
    </row>
    <row r="52" spans="1:8" ht="15.6" customHeight="1">
      <c r="B52" s="105"/>
      <c r="C52" s="105" t="s">
        <v>142</v>
      </c>
      <c r="D52" s="232">
        <v>21</v>
      </c>
      <c r="E52" s="232">
        <v>18</v>
      </c>
      <c r="F52" s="232">
        <v>3</v>
      </c>
      <c r="G52" s="106"/>
    </row>
    <row r="53" spans="1:8" ht="15.6" customHeight="1">
      <c r="A53" s="13"/>
      <c r="B53" s="107"/>
      <c r="C53" s="107" t="s">
        <v>17</v>
      </c>
      <c r="D53" s="241">
        <v>80</v>
      </c>
      <c r="E53" s="242">
        <v>55</v>
      </c>
      <c r="F53" s="242">
        <v>25</v>
      </c>
      <c r="G53" s="110"/>
      <c r="H53" s="30"/>
    </row>
    <row r="54" spans="1:8" ht="15.6" customHeight="1">
      <c r="B54" s="97"/>
      <c r="C54" s="97" t="s">
        <v>160</v>
      </c>
      <c r="D54" s="232">
        <v>2</v>
      </c>
      <c r="E54" s="232">
        <v>0</v>
      </c>
      <c r="F54" s="232">
        <v>2</v>
      </c>
      <c r="G54" s="99"/>
    </row>
    <row r="55" spans="1:8" ht="15.6" customHeight="1">
      <c r="B55" s="97"/>
      <c r="C55" s="97" t="s">
        <v>39</v>
      </c>
      <c r="D55" s="232">
        <v>29</v>
      </c>
      <c r="E55" s="232">
        <v>22</v>
      </c>
      <c r="F55" s="232">
        <v>7</v>
      </c>
      <c r="G55" s="99"/>
    </row>
    <row r="56" spans="1:8" ht="15.6" customHeight="1">
      <c r="B56" s="105"/>
      <c r="C56" s="105" t="s">
        <v>40</v>
      </c>
      <c r="D56" s="232">
        <v>49</v>
      </c>
      <c r="E56" s="232">
        <v>33</v>
      </c>
      <c r="F56" s="232">
        <v>16</v>
      </c>
      <c r="G56" s="106"/>
    </row>
    <row r="57" spans="1:8" ht="15.6" customHeight="1" thickBot="1">
      <c r="B57" s="124"/>
      <c r="C57" s="124" t="s">
        <v>119</v>
      </c>
      <c r="D57" s="243">
        <v>5621</v>
      </c>
      <c r="E57" s="243">
        <v>5621</v>
      </c>
      <c r="F57" s="244">
        <v>0</v>
      </c>
      <c r="G57" s="126"/>
      <c r="H57" s="30"/>
    </row>
    <row r="58" spans="1:8" s="13" customFormat="1" ht="3.75" customHeight="1">
      <c r="B58" s="127"/>
      <c r="C58" s="97"/>
      <c r="D58" s="128"/>
      <c r="E58" s="128"/>
      <c r="F58" s="128"/>
      <c r="G58" s="129"/>
    </row>
    <row r="59" spans="1:8" s="5" customFormat="1" ht="11.25" customHeight="1">
      <c r="B59" s="130" t="s">
        <v>100</v>
      </c>
      <c r="C59" s="131"/>
      <c r="D59" s="132"/>
      <c r="E59" s="132"/>
      <c r="F59" s="133"/>
      <c r="G59" s="80"/>
    </row>
    <row r="60" spans="1:8" s="4" customFormat="1" ht="11.25">
      <c r="B60" s="134" t="s">
        <v>101</v>
      </c>
      <c r="C60" s="135"/>
      <c r="D60" s="136"/>
      <c r="E60" s="136"/>
      <c r="F60" s="137"/>
      <c r="G60" s="138"/>
    </row>
    <row r="61" spans="1:8" s="4" customFormat="1" ht="11.25" customHeight="1">
      <c r="B61" s="134" t="s">
        <v>102</v>
      </c>
      <c r="C61" s="139"/>
      <c r="D61" s="136"/>
      <c r="E61" s="132"/>
      <c r="F61" s="140"/>
      <c r="G61" s="79"/>
    </row>
    <row r="62" spans="1:8" s="4" customFormat="1" ht="14.1" customHeight="1">
      <c r="B62" s="134" t="s">
        <v>103</v>
      </c>
      <c r="C62" s="139"/>
      <c r="D62" s="136"/>
      <c r="E62" s="132"/>
      <c r="F62" s="140"/>
      <c r="G62" s="79"/>
    </row>
    <row r="63" spans="1:8" s="4" customFormat="1" ht="14.1" customHeight="1">
      <c r="B63" s="134" t="s">
        <v>104</v>
      </c>
      <c r="C63" s="139"/>
      <c r="D63" s="136"/>
      <c r="E63" s="132"/>
      <c r="F63" s="140"/>
      <c r="G63" s="79"/>
    </row>
    <row r="64" spans="1:8" s="17" customFormat="1" ht="17.100000000000001" customHeight="1">
      <c r="A64" s="4"/>
      <c r="B64" s="3"/>
      <c r="C64" s="16"/>
      <c r="D64" s="15"/>
      <c r="E64" s="14"/>
      <c r="F64" s="15"/>
      <c r="G64" s="4"/>
    </row>
    <row r="65" spans="4:6" ht="17.100000000000001" customHeight="1">
      <c r="D65" s="18"/>
      <c r="E65" s="19"/>
      <c r="F65" s="18"/>
    </row>
    <row r="66" spans="4:6" ht="17.100000000000001" customHeight="1">
      <c r="D66" s="18"/>
      <c r="E66" s="19"/>
      <c r="F66" s="18"/>
    </row>
  </sheetData>
  <mergeCells count="2">
    <mergeCell ref="B1:G1"/>
    <mergeCell ref="B2:G2"/>
  </mergeCells>
  <phoneticPr fontId="17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75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66"/>
  <sheetViews>
    <sheetView showGridLines="0" zoomScale="85" zoomScaleNormal="85" workbookViewId="0">
      <selection activeCell="E10" sqref="E10"/>
    </sheetView>
  </sheetViews>
  <sheetFormatPr defaultColWidth="1.7109375" defaultRowHeight="17.100000000000001" customHeight="1"/>
  <cols>
    <col min="1" max="1" width="2.28515625" style="10" customWidth="1"/>
    <col min="2" max="2" width="2.28515625" style="20" customWidth="1"/>
    <col min="3" max="3" width="29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2.28515625" style="10" customWidth="1"/>
    <col min="8" max="255" width="9.140625" style="9" customWidth="1"/>
    <col min="256" max="16384" width="1.7109375" style="9"/>
  </cols>
  <sheetData>
    <row r="1" spans="2:7" s="1" customFormat="1" ht="21.95" customHeight="1">
      <c r="B1" s="249" t="s">
        <v>105</v>
      </c>
      <c r="C1" s="249"/>
      <c r="D1" s="249"/>
      <c r="E1" s="249"/>
      <c r="F1" s="249"/>
      <c r="G1" s="249"/>
    </row>
    <row r="2" spans="2:7" s="2" customFormat="1" ht="15" customHeight="1">
      <c r="B2" s="250" t="s">
        <v>184</v>
      </c>
      <c r="C2" s="250"/>
      <c r="D2" s="250"/>
      <c r="E2" s="250"/>
      <c r="F2" s="250"/>
      <c r="G2" s="250"/>
    </row>
    <row r="3" spans="2:7" s="4" customFormat="1" ht="11.1" customHeight="1" thickBot="1">
      <c r="B3" s="77"/>
      <c r="C3" s="78"/>
      <c r="D3" s="79"/>
      <c r="E3" s="80"/>
      <c r="F3" s="81" t="s">
        <v>54</v>
      </c>
      <c r="G3" s="81"/>
    </row>
    <row r="4" spans="2:7" s="6" customFormat="1" ht="15.6" customHeight="1">
      <c r="B4" s="82"/>
      <c r="C4" s="83" t="s">
        <v>95</v>
      </c>
      <c r="D4" s="84" t="s">
        <v>55</v>
      </c>
      <c r="E4" s="84" t="s">
        <v>56</v>
      </c>
      <c r="F4" s="84" t="s">
        <v>57</v>
      </c>
      <c r="G4" s="85"/>
    </row>
    <row r="5" spans="2:7" s="7" customFormat="1" ht="20.100000000000001" customHeight="1">
      <c r="B5" s="86"/>
      <c r="C5" s="87" t="s">
        <v>106</v>
      </c>
      <c r="D5" s="88">
        <f>SUM(D7,D11,D15,D21,D22,D23,D24,D28,D31,D32,D33,D38,D43,D47,D48,D49,D53,D57)</f>
        <v>14230</v>
      </c>
      <c r="E5" s="88">
        <f t="shared" ref="E5:F5" si="0">SUM(E7,E11,E15,E21,E22,E23,E24,E28,E31,E32,E33,E38,E43,E47,E48,E49,E53,E57)</f>
        <v>8345</v>
      </c>
      <c r="F5" s="88">
        <f t="shared" si="0"/>
        <v>5885</v>
      </c>
      <c r="G5" s="89"/>
    </row>
    <row r="6" spans="2:7" s="8" customFormat="1" ht="15" customHeight="1" thickBot="1">
      <c r="B6" s="90"/>
      <c r="C6" s="91" t="s">
        <v>107</v>
      </c>
      <c r="D6" s="92">
        <v>-1674</v>
      </c>
      <c r="E6" s="92">
        <v>-994</v>
      </c>
      <c r="F6" s="92">
        <v>-680</v>
      </c>
      <c r="G6" s="93"/>
    </row>
    <row r="7" spans="2:7" ht="15.6" customHeight="1" thickTop="1">
      <c r="B7" s="94"/>
      <c r="C7" s="94" t="s">
        <v>108</v>
      </c>
      <c r="D7" s="231">
        <v>6</v>
      </c>
      <c r="E7" s="231">
        <v>0</v>
      </c>
      <c r="F7" s="231">
        <v>6</v>
      </c>
      <c r="G7" s="96"/>
    </row>
    <row r="8" spans="2:7" ht="15.6" customHeight="1">
      <c r="B8" s="97"/>
      <c r="C8" s="97" t="s">
        <v>0</v>
      </c>
      <c r="D8" s="232">
        <v>4</v>
      </c>
      <c r="E8" s="232">
        <v>0</v>
      </c>
      <c r="F8" s="232">
        <v>4</v>
      </c>
      <c r="G8" s="99"/>
    </row>
    <row r="9" spans="2:7" ht="15.6" customHeight="1">
      <c r="B9" s="97"/>
      <c r="C9" s="97" t="s">
        <v>1</v>
      </c>
      <c r="D9" s="232">
        <v>0</v>
      </c>
      <c r="E9" s="232">
        <v>0</v>
      </c>
      <c r="F9" s="232">
        <v>0</v>
      </c>
      <c r="G9" s="99"/>
    </row>
    <row r="10" spans="2:7" ht="15.6" customHeight="1">
      <c r="B10" s="97"/>
      <c r="C10" s="97" t="s">
        <v>2</v>
      </c>
      <c r="D10" s="232">
        <v>2</v>
      </c>
      <c r="E10" s="232">
        <v>0</v>
      </c>
      <c r="F10" s="232">
        <v>2</v>
      </c>
      <c r="G10" s="100"/>
    </row>
    <row r="11" spans="2:7" ht="15.6" customHeight="1">
      <c r="B11" s="101"/>
      <c r="C11" s="101" t="s">
        <v>3</v>
      </c>
      <c r="D11" s="245">
        <v>85</v>
      </c>
      <c r="E11" s="234">
        <v>0</v>
      </c>
      <c r="F11" s="234">
        <v>85</v>
      </c>
      <c r="G11" s="104"/>
    </row>
    <row r="12" spans="2:7" ht="15.6" customHeight="1">
      <c r="B12" s="97"/>
      <c r="C12" s="97" t="s">
        <v>0</v>
      </c>
      <c r="D12" s="232">
        <v>43</v>
      </c>
      <c r="E12" s="232">
        <v>0</v>
      </c>
      <c r="F12" s="232">
        <v>43</v>
      </c>
      <c r="G12" s="99"/>
    </row>
    <row r="13" spans="2:7" ht="15.6" customHeight="1">
      <c r="B13" s="97"/>
      <c r="C13" s="97" t="s">
        <v>1</v>
      </c>
      <c r="D13" s="232">
        <v>7</v>
      </c>
      <c r="E13" s="232">
        <v>0</v>
      </c>
      <c r="F13" s="232">
        <v>7</v>
      </c>
      <c r="G13" s="99"/>
    </row>
    <row r="14" spans="2:7" ht="15.6" customHeight="1">
      <c r="B14" s="105"/>
      <c r="C14" s="105" t="s">
        <v>2</v>
      </c>
      <c r="D14" s="232">
        <v>35</v>
      </c>
      <c r="E14" s="232">
        <v>0</v>
      </c>
      <c r="F14" s="232">
        <v>35</v>
      </c>
      <c r="G14" s="106"/>
    </row>
    <row r="15" spans="2:7" ht="15.6" customHeight="1">
      <c r="B15" s="107"/>
      <c r="C15" s="107" t="s">
        <v>109</v>
      </c>
      <c r="D15" s="237">
        <v>6347</v>
      </c>
      <c r="E15" s="238">
        <v>2340</v>
      </c>
      <c r="F15" s="238">
        <v>4007</v>
      </c>
      <c r="G15" s="110"/>
    </row>
    <row r="16" spans="2:7" ht="15.6" customHeight="1">
      <c r="B16" s="97"/>
      <c r="C16" s="97" t="s">
        <v>4</v>
      </c>
      <c r="D16" s="232">
        <v>772</v>
      </c>
      <c r="E16" s="232">
        <v>0</v>
      </c>
      <c r="F16" s="232">
        <v>772</v>
      </c>
      <c r="G16" s="99"/>
    </row>
    <row r="17" spans="1:7" ht="15.6" customHeight="1">
      <c r="B17" s="97"/>
      <c r="C17" s="97" t="s">
        <v>5</v>
      </c>
      <c r="D17" s="236">
        <v>4047</v>
      </c>
      <c r="E17" s="236">
        <v>1374</v>
      </c>
      <c r="F17" s="236">
        <v>2673</v>
      </c>
      <c r="G17" s="99"/>
    </row>
    <row r="18" spans="1:7" ht="15.6" customHeight="1">
      <c r="B18" s="97"/>
      <c r="C18" s="97" t="s">
        <v>6</v>
      </c>
      <c r="D18" s="232">
        <v>203</v>
      </c>
      <c r="E18" s="232">
        <v>0</v>
      </c>
      <c r="F18" s="232">
        <v>203</v>
      </c>
      <c r="G18" s="99"/>
    </row>
    <row r="19" spans="1:7" ht="15.6" customHeight="1">
      <c r="B19" s="97"/>
      <c r="C19" s="97" t="s">
        <v>7</v>
      </c>
      <c r="D19" s="236">
        <v>1325</v>
      </c>
      <c r="E19" s="236">
        <v>966</v>
      </c>
      <c r="F19" s="232">
        <v>359</v>
      </c>
      <c r="G19" s="99"/>
    </row>
    <row r="20" spans="1:7" s="12" customFormat="1" ht="12">
      <c r="A20" s="11"/>
      <c r="B20" s="111"/>
      <c r="C20" s="111" t="s">
        <v>110</v>
      </c>
      <c r="D20" s="198">
        <v>-1674</v>
      </c>
      <c r="E20" s="198">
        <v>-994</v>
      </c>
      <c r="F20" s="198">
        <v>-680</v>
      </c>
      <c r="G20" s="113"/>
    </row>
    <row r="21" spans="1:7" ht="15.6" customHeight="1">
      <c r="B21" s="114"/>
      <c r="C21" s="114" t="s">
        <v>8</v>
      </c>
      <c r="D21" s="239">
        <v>1638</v>
      </c>
      <c r="E21" s="240">
        <v>128</v>
      </c>
      <c r="F21" s="239">
        <v>1510</v>
      </c>
      <c r="G21" s="116"/>
    </row>
    <row r="22" spans="1:7" ht="15.6" customHeight="1">
      <c r="B22" s="114"/>
      <c r="C22" s="114" t="s">
        <v>9</v>
      </c>
      <c r="D22" s="240">
        <v>180</v>
      </c>
      <c r="E22" s="240">
        <v>142</v>
      </c>
      <c r="F22" s="240">
        <v>38</v>
      </c>
      <c r="G22" s="116"/>
    </row>
    <row r="23" spans="1:7" ht="15.6" customHeight="1">
      <c r="B23" s="114"/>
      <c r="C23" s="114" t="s">
        <v>26</v>
      </c>
      <c r="D23" s="240">
        <v>3</v>
      </c>
      <c r="E23" s="240">
        <v>0</v>
      </c>
      <c r="F23" s="240">
        <v>3</v>
      </c>
      <c r="G23" s="116"/>
    </row>
    <row r="24" spans="1:7" ht="15.6" customHeight="1">
      <c r="B24" s="107"/>
      <c r="C24" s="107" t="s">
        <v>10</v>
      </c>
      <c r="D24" s="241">
        <v>2</v>
      </c>
      <c r="E24" s="242">
        <v>0</v>
      </c>
      <c r="F24" s="242">
        <v>2</v>
      </c>
      <c r="G24" s="110"/>
    </row>
    <row r="25" spans="1:7" ht="15.6" customHeight="1">
      <c r="A25" s="13"/>
      <c r="B25" s="117"/>
      <c r="C25" s="117" t="s">
        <v>111</v>
      </c>
      <c r="D25" s="232">
        <v>0</v>
      </c>
      <c r="E25" s="232">
        <v>0</v>
      </c>
      <c r="F25" s="232">
        <v>0</v>
      </c>
      <c r="G25" s="99"/>
    </row>
    <row r="26" spans="1:7" ht="15.6" customHeight="1">
      <c r="A26" s="13"/>
      <c r="B26" s="117"/>
      <c r="C26" s="117" t="s">
        <v>112</v>
      </c>
      <c r="D26" s="232">
        <v>1</v>
      </c>
      <c r="E26" s="232">
        <v>0</v>
      </c>
      <c r="F26" s="232">
        <v>1</v>
      </c>
      <c r="G26" s="99"/>
    </row>
    <row r="27" spans="1:7" ht="15.6" customHeight="1">
      <c r="A27" s="13"/>
      <c r="B27" s="118"/>
      <c r="C27" s="118" t="s">
        <v>113</v>
      </c>
      <c r="D27" s="232">
        <v>1</v>
      </c>
      <c r="E27" s="232">
        <v>0</v>
      </c>
      <c r="F27" s="232">
        <v>1</v>
      </c>
      <c r="G27" s="106"/>
    </row>
    <row r="28" spans="1:7" ht="15.6" customHeight="1">
      <c r="B28" s="107"/>
      <c r="C28" s="107" t="s">
        <v>167</v>
      </c>
      <c r="D28" s="241">
        <v>158</v>
      </c>
      <c r="E28" s="242">
        <v>22</v>
      </c>
      <c r="F28" s="242">
        <v>136</v>
      </c>
      <c r="G28" s="110"/>
    </row>
    <row r="29" spans="1:7" ht="15.6" customHeight="1">
      <c r="B29" s="117"/>
      <c r="C29" s="117" t="s">
        <v>11</v>
      </c>
      <c r="D29" s="232">
        <v>92</v>
      </c>
      <c r="E29" s="232">
        <v>0</v>
      </c>
      <c r="F29" s="232">
        <v>92</v>
      </c>
      <c r="G29" s="99"/>
    </row>
    <row r="30" spans="1:7" ht="15.6" customHeight="1">
      <c r="B30" s="119"/>
      <c r="C30" s="119" t="s">
        <v>12</v>
      </c>
      <c r="D30" s="232">
        <v>66</v>
      </c>
      <c r="E30" s="232">
        <v>22</v>
      </c>
      <c r="F30" s="232">
        <v>44</v>
      </c>
      <c r="G30" s="106"/>
    </row>
    <row r="31" spans="1:7" ht="15.6" customHeight="1">
      <c r="B31" s="120"/>
      <c r="C31" s="120" t="s">
        <v>30</v>
      </c>
      <c r="D31" s="240">
        <v>0</v>
      </c>
      <c r="E31" s="240">
        <v>0</v>
      </c>
      <c r="F31" s="240">
        <v>0</v>
      </c>
      <c r="G31" s="116"/>
    </row>
    <row r="32" spans="1:7" ht="15.6" customHeight="1">
      <c r="B32" s="120"/>
      <c r="C32" s="120" t="s">
        <v>13</v>
      </c>
      <c r="D32" s="240">
        <v>2</v>
      </c>
      <c r="E32" s="240">
        <v>0</v>
      </c>
      <c r="F32" s="240">
        <v>2</v>
      </c>
      <c r="G32" s="116"/>
    </row>
    <row r="33" spans="1:7" ht="15.6" customHeight="1">
      <c r="A33" s="13"/>
      <c r="B33" s="107"/>
      <c r="C33" s="107" t="s">
        <v>14</v>
      </c>
      <c r="D33" s="241">
        <v>52</v>
      </c>
      <c r="E33" s="242">
        <v>38</v>
      </c>
      <c r="F33" s="242">
        <v>14</v>
      </c>
      <c r="G33" s="110"/>
    </row>
    <row r="34" spans="1:7" ht="15.6" customHeight="1">
      <c r="B34" s="117"/>
      <c r="C34" s="117" t="s">
        <v>32</v>
      </c>
      <c r="D34" s="232">
        <v>4</v>
      </c>
      <c r="E34" s="232">
        <v>0</v>
      </c>
      <c r="F34" s="232">
        <v>4</v>
      </c>
      <c r="G34" s="99"/>
    </row>
    <row r="35" spans="1:7" ht="15.6" customHeight="1">
      <c r="B35" s="117"/>
      <c r="C35" s="117" t="s">
        <v>33</v>
      </c>
      <c r="D35" s="232">
        <v>40</v>
      </c>
      <c r="E35" s="232">
        <v>33</v>
      </c>
      <c r="F35" s="232">
        <v>7</v>
      </c>
      <c r="G35" s="99"/>
    </row>
    <row r="36" spans="1:7" ht="15.6" customHeight="1">
      <c r="B36" s="117"/>
      <c r="C36" s="117" t="s">
        <v>34</v>
      </c>
      <c r="D36" s="232">
        <v>1</v>
      </c>
      <c r="E36" s="232">
        <v>0</v>
      </c>
      <c r="F36" s="232">
        <v>1</v>
      </c>
      <c r="G36" s="99"/>
    </row>
    <row r="37" spans="1:7" ht="15.6" customHeight="1">
      <c r="B37" s="118"/>
      <c r="C37" s="118" t="s">
        <v>35</v>
      </c>
      <c r="D37" s="232">
        <v>7</v>
      </c>
      <c r="E37" s="232">
        <v>5</v>
      </c>
      <c r="F37" s="232">
        <v>2</v>
      </c>
      <c r="G37" s="106"/>
    </row>
    <row r="38" spans="1:7" ht="15.6" customHeight="1">
      <c r="A38" s="13"/>
      <c r="B38" s="107"/>
      <c r="C38" s="107" t="s">
        <v>114</v>
      </c>
      <c r="D38" s="241">
        <v>182</v>
      </c>
      <c r="E38" s="242">
        <v>127</v>
      </c>
      <c r="F38" s="242">
        <v>55</v>
      </c>
      <c r="G38" s="110"/>
    </row>
    <row r="39" spans="1:7" ht="15.6" customHeight="1">
      <c r="B39" s="121"/>
      <c r="C39" s="121" t="s">
        <v>115</v>
      </c>
      <c r="D39" s="232">
        <v>28</v>
      </c>
      <c r="E39" s="232">
        <v>0</v>
      </c>
      <c r="F39" s="232">
        <v>28</v>
      </c>
      <c r="G39" s="123"/>
    </row>
    <row r="40" spans="1:7" ht="15.6" customHeight="1">
      <c r="B40" s="117"/>
      <c r="C40" s="117" t="s">
        <v>49</v>
      </c>
      <c r="D40" s="232">
        <v>145</v>
      </c>
      <c r="E40" s="232">
        <v>126</v>
      </c>
      <c r="F40" s="232">
        <v>19</v>
      </c>
      <c r="G40" s="99"/>
    </row>
    <row r="41" spans="1:7" ht="15.6" customHeight="1">
      <c r="B41" s="117"/>
      <c r="C41" s="117" t="s">
        <v>116</v>
      </c>
      <c r="D41" s="232">
        <v>8</v>
      </c>
      <c r="E41" s="232">
        <v>0</v>
      </c>
      <c r="F41" s="232">
        <v>8</v>
      </c>
      <c r="G41" s="99"/>
    </row>
    <row r="42" spans="1:7" ht="15.6" customHeight="1">
      <c r="B42" s="118"/>
      <c r="C42" s="118" t="s">
        <v>51</v>
      </c>
      <c r="D42" s="232">
        <v>1</v>
      </c>
      <c r="E42" s="232">
        <v>1</v>
      </c>
      <c r="F42" s="232">
        <v>0</v>
      </c>
      <c r="G42" s="106"/>
    </row>
    <row r="43" spans="1:7" ht="15.6" customHeight="1">
      <c r="B43" s="107"/>
      <c r="C43" s="107" t="s">
        <v>15</v>
      </c>
      <c r="D43" s="237">
        <v>3141</v>
      </c>
      <c r="E43" s="238">
        <v>3141</v>
      </c>
      <c r="F43" s="242">
        <v>0</v>
      </c>
      <c r="G43" s="110"/>
    </row>
    <row r="44" spans="1:7" ht="15.6" customHeight="1">
      <c r="B44" s="117"/>
      <c r="C44" s="117" t="s">
        <v>153</v>
      </c>
      <c r="D44" s="232">
        <v>238</v>
      </c>
      <c r="E44" s="232">
        <v>238</v>
      </c>
      <c r="F44" s="232">
        <v>0</v>
      </c>
      <c r="G44" s="99"/>
    </row>
    <row r="45" spans="1:7" ht="15.6" customHeight="1">
      <c r="B45" s="117"/>
      <c r="C45" s="117" t="s">
        <v>37</v>
      </c>
      <c r="D45" s="236">
        <v>2897</v>
      </c>
      <c r="E45" s="236">
        <v>2897</v>
      </c>
      <c r="F45" s="232">
        <v>0</v>
      </c>
      <c r="G45" s="99"/>
    </row>
    <row r="46" spans="1:7" ht="15.6" customHeight="1">
      <c r="B46" s="118"/>
      <c r="C46" s="118" t="s">
        <v>155</v>
      </c>
      <c r="D46" s="232">
        <v>6</v>
      </c>
      <c r="E46" s="232">
        <v>6</v>
      </c>
      <c r="F46" s="232">
        <v>0</v>
      </c>
      <c r="G46" s="106"/>
    </row>
    <row r="47" spans="1:7" ht="15.6" customHeight="1">
      <c r="A47" s="13"/>
      <c r="B47" s="114"/>
      <c r="C47" s="114" t="s">
        <v>52</v>
      </c>
      <c r="D47" s="239">
        <v>1034</v>
      </c>
      <c r="E47" s="239">
        <v>1034</v>
      </c>
      <c r="F47" s="240">
        <v>0</v>
      </c>
      <c r="G47" s="116"/>
    </row>
    <row r="48" spans="1:7" ht="15.6" customHeight="1">
      <c r="A48" s="13"/>
      <c r="B48" s="114"/>
      <c r="C48" s="114" t="s">
        <v>117</v>
      </c>
      <c r="D48" s="240">
        <v>3</v>
      </c>
      <c r="E48" s="240">
        <v>3</v>
      </c>
      <c r="F48" s="240">
        <v>0</v>
      </c>
      <c r="G48" s="116"/>
    </row>
    <row r="49" spans="1:7" ht="15.6" customHeight="1">
      <c r="A49" s="13"/>
      <c r="B49" s="107"/>
      <c r="C49" s="107" t="s">
        <v>16</v>
      </c>
      <c r="D49" s="241">
        <v>19</v>
      </c>
      <c r="E49" s="242">
        <v>16</v>
      </c>
      <c r="F49" s="242">
        <v>3</v>
      </c>
      <c r="G49" s="110"/>
    </row>
    <row r="50" spans="1:7" ht="15.6" customHeight="1">
      <c r="B50" s="97"/>
      <c r="C50" s="97" t="s">
        <v>158</v>
      </c>
      <c r="D50" s="232">
        <v>1</v>
      </c>
      <c r="E50" s="232">
        <v>0</v>
      </c>
      <c r="F50" s="232">
        <v>1</v>
      </c>
      <c r="G50" s="99"/>
    </row>
    <row r="51" spans="1:7" ht="15.6" customHeight="1">
      <c r="B51" s="97"/>
      <c r="C51" s="97" t="s">
        <v>118</v>
      </c>
      <c r="D51" s="232">
        <v>7</v>
      </c>
      <c r="E51" s="232">
        <v>6</v>
      </c>
      <c r="F51" s="232">
        <v>1</v>
      </c>
      <c r="G51" s="99"/>
    </row>
    <row r="52" spans="1:7" ht="15.6" customHeight="1">
      <c r="B52" s="105"/>
      <c r="C52" s="105" t="s">
        <v>142</v>
      </c>
      <c r="D52" s="232">
        <v>11</v>
      </c>
      <c r="E52" s="232">
        <v>10</v>
      </c>
      <c r="F52" s="232">
        <v>1</v>
      </c>
      <c r="G52" s="106"/>
    </row>
    <row r="53" spans="1:7" ht="15.6" customHeight="1">
      <c r="A53" s="13"/>
      <c r="B53" s="107"/>
      <c r="C53" s="107" t="s">
        <v>17</v>
      </c>
      <c r="D53" s="241">
        <v>70</v>
      </c>
      <c r="E53" s="242">
        <v>46</v>
      </c>
      <c r="F53" s="242">
        <v>24</v>
      </c>
      <c r="G53" s="110"/>
    </row>
    <row r="54" spans="1:7" ht="15.6" customHeight="1">
      <c r="B54" s="97"/>
      <c r="C54" s="97" t="s">
        <v>160</v>
      </c>
      <c r="D54" s="232">
        <v>1</v>
      </c>
      <c r="E54" s="232">
        <v>0</v>
      </c>
      <c r="F54" s="232">
        <v>1</v>
      </c>
      <c r="G54" s="99"/>
    </row>
    <row r="55" spans="1:7" ht="15.6" customHeight="1">
      <c r="B55" s="97"/>
      <c r="C55" s="97" t="s">
        <v>39</v>
      </c>
      <c r="D55" s="232">
        <v>34</v>
      </c>
      <c r="E55" s="232">
        <v>27</v>
      </c>
      <c r="F55" s="232">
        <v>7</v>
      </c>
      <c r="G55" s="99"/>
    </row>
    <row r="56" spans="1:7" ht="15.6" customHeight="1">
      <c r="B56" s="105"/>
      <c r="C56" s="105" t="s">
        <v>40</v>
      </c>
      <c r="D56" s="232">
        <v>35</v>
      </c>
      <c r="E56" s="232">
        <v>19</v>
      </c>
      <c r="F56" s="232">
        <v>16</v>
      </c>
      <c r="G56" s="106"/>
    </row>
    <row r="57" spans="1:7" ht="15.6" customHeight="1" thickBot="1">
      <c r="B57" s="124"/>
      <c r="C57" s="124" t="s">
        <v>119</v>
      </c>
      <c r="D57" s="243">
        <v>1308</v>
      </c>
      <c r="E57" s="243">
        <v>1308</v>
      </c>
      <c r="F57" s="244">
        <v>0</v>
      </c>
      <c r="G57" s="126"/>
    </row>
    <row r="58" spans="1:7" s="13" customFormat="1" ht="2.25" customHeight="1">
      <c r="B58" s="127"/>
      <c r="C58" s="97"/>
      <c r="D58" s="128"/>
      <c r="E58" s="128"/>
      <c r="F58" s="128"/>
      <c r="G58" s="129"/>
    </row>
    <row r="59" spans="1:7" s="5" customFormat="1" ht="11.25" customHeight="1">
      <c r="B59" s="130" t="s">
        <v>100</v>
      </c>
      <c r="C59" s="131"/>
      <c r="D59" s="132"/>
      <c r="E59" s="132"/>
      <c r="F59" s="133"/>
      <c r="G59" s="80"/>
    </row>
    <row r="60" spans="1:7" s="4" customFormat="1" ht="11.25">
      <c r="B60" s="134" t="s">
        <v>101</v>
      </c>
      <c r="C60" s="135"/>
      <c r="D60" s="136"/>
      <c r="E60" s="136"/>
      <c r="F60" s="137"/>
      <c r="G60" s="138"/>
    </row>
    <row r="61" spans="1:7" s="4" customFormat="1" ht="11.25" customHeight="1">
      <c r="B61" s="134" t="s">
        <v>102</v>
      </c>
      <c r="C61" s="139"/>
      <c r="D61" s="136"/>
      <c r="E61" s="132"/>
      <c r="F61" s="140"/>
      <c r="G61" s="79"/>
    </row>
    <row r="62" spans="1:7" s="4" customFormat="1" ht="14.1" customHeight="1">
      <c r="B62" s="134" t="s">
        <v>103</v>
      </c>
      <c r="C62" s="139"/>
      <c r="D62" s="136"/>
      <c r="E62" s="132"/>
      <c r="F62" s="140"/>
      <c r="G62" s="79"/>
    </row>
    <row r="63" spans="1:7" s="4" customFormat="1" ht="14.1" customHeight="1">
      <c r="B63" s="134" t="s">
        <v>104</v>
      </c>
      <c r="C63" s="139"/>
      <c r="D63" s="136"/>
      <c r="E63" s="132"/>
      <c r="F63" s="140"/>
      <c r="G63" s="79"/>
    </row>
    <row r="64" spans="1:7" s="17" customFormat="1" ht="17.100000000000001" customHeight="1">
      <c r="A64" s="4"/>
      <c r="B64" s="3"/>
      <c r="C64" s="16"/>
      <c r="D64" s="15"/>
      <c r="E64" s="14"/>
      <c r="F64" s="15"/>
      <c r="G64" s="4"/>
    </row>
    <row r="65" spans="4:6" ht="17.100000000000001" customHeight="1">
      <c r="D65" s="18"/>
      <c r="E65" s="19"/>
      <c r="F65" s="18"/>
    </row>
    <row r="66" spans="4:6" ht="17.100000000000001" customHeight="1">
      <c r="D66" s="18"/>
      <c r="E66" s="19"/>
      <c r="F66" s="18"/>
    </row>
  </sheetData>
  <mergeCells count="2">
    <mergeCell ref="B1:G1"/>
    <mergeCell ref="B2:G2"/>
  </mergeCells>
  <phoneticPr fontId="17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75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66"/>
  <sheetViews>
    <sheetView showGridLines="0" zoomScale="85" zoomScaleNormal="85" workbookViewId="0">
      <selection activeCell="E11" sqref="E11"/>
    </sheetView>
  </sheetViews>
  <sheetFormatPr defaultColWidth="1.7109375" defaultRowHeight="17.100000000000001" customHeight="1"/>
  <cols>
    <col min="1" max="1" width="2.28515625" style="10" customWidth="1"/>
    <col min="2" max="2" width="2.28515625" style="20" customWidth="1"/>
    <col min="3" max="3" width="29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2.28515625" style="10" customWidth="1"/>
    <col min="8" max="255" width="9.140625" style="9" customWidth="1"/>
    <col min="256" max="16384" width="1.7109375" style="9"/>
  </cols>
  <sheetData>
    <row r="1" spans="2:7" s="1" customFormat="1" ht="21.95" customHeight="1">
      <c r="B1" s="249" t="s">
        <v>105</v>
      </c>
      <c r="C1" s="249"/>
      <c r="D1" s="249"/>
      <c r="E1" s="249"/>
      <c r="F1" s="249"/>
      <c r="G1" s="249"/>
    </row>
    <row r="2" spans="2:7" s="2" customFormat="1" ht="15" customHeight="1">
      <c r="B2" s="250" t="s">
        <v>185</v>
      </c>
      <c r="C2" s="250"/>
      <c r="D2" s="250"/>
      <c r="E2" s="250"/>
      <c r="F2" s="250"/>
      <c r="G2" s="250"/>
    </row>
    <row r="3" spans="2:7" s="4" customFormat="1" ht="11.1" customHeight="1" thickBot="1">
      <c r="B3" s="77"/>
      <c r="C3" s="78"/>
      <c r="D3" s="79"/>
      <c r="E3" s="80"/>
      <c r="F3" s="81" t="s">
        <v>54</v>
      </c>
      <c r="G3" s="81"/>
    </row>
    <row r="4" spans="2:7" s="6" customFormat="1" ht="15.6" customHeight="1">
      <c r="B4" s="82"/>
      <c r="C4" s="83" t="s">
        <v>95</v>
      </c>
      <c r="D4" s="84" t="s">
        <v>55</v>
      </c>
      <c r="E4" s="84" t="s">
        <v>56</v>
      </c>
      <c r="F4" s="84" t="s">
        <v>57</v>
      </c>
      <c r="G4" s="85"/>
    </row>
    <row r="5" spans="2:7" s="7" customFormat="1" ht="20.100000000000001" customHeight="1">
      <c r="B5" s="86"/>
      <c r="C5" s="87" t="s">
        <v>106</v>
      </c>
      <c r="D5" s="88">
        <f>SUM(D7,D11,D15,D21,D22,D23,D24,D28,D31,D32,D33,D38,D43,D47,D48,D49,D53,D57)</f>
        <v>6446</v>
      </c>
      <c r="E5" s="88">
        <f t="shared" ref="E5:F5" si="0">SUM(E7,E11,E15,E21,E22,E23,E24,E28,E31,E32,E33,E38,E43,E47,E48,E49,E53,E57)</f>
        <v>4975</v>
      </c>
      <c r="F5" s="88">
        <f t="shared" si="0"/>
        <v>1471</v>
      </c>
      <c r="G5" s="89"/>
    </row>
    <row r="6" spans="2:7" s="8" customFormat="1" ht="15" customHeight="1" thickBot="1">
      <c r="B6" s="90"/>
      <c r="C6" s="91" t="s">
        <v>107</v>
      </c>
      <c r="D6" s="92">
        <v>-304</v>
      </c>
      <c r="E6" s="92">
        <v>-170</v>
      </c>
      <c r="F6" s="92">
        <v>-134</v>
      </c>
      <c r="G6" s="93"/>
    </row>
    <row r="7" spans="2:7" ht="15.6" customHeight="1" thickTop="1">
      <c r="B7" s="94"/>
      <c r="C7" s="94" t="s">
        <v>108</v>
      </c>
      <c r="D7" s="231">
        <v>4</v>
      </c>
      <c r="E7" s="231">
        <v>0</v>
      </c>
      <c r="F7" s="231">
        <v>4</v>
      </c>
      <c r="G7" s="96"/>
    </row>
    <row r="8" spans="2:7" ht="15.6" customHeight="1">
      <c r="B8" s="97"/>
      <c r="C8" s="97" t="s">
        <v>0</v>
      </c>
      <c r="D8" s="232">
        <v>3</v>
      </c>
      <c r="E8" s="232">
        <v>0</v>
      </c>
      <c r="F8" s="232">
        <v>3</v>
      </c>
      <c r="G8" s="99"/>
    </row>
    <row r="9" spans="2:7" ht="15.6" customHeight="1">
      <c r="B9" s="97"/>
      <c r="C9" s="97" t="s">
        <v>1</v>
      </c>
      <c r="D9" s="232">
        <v>0</v>
      </c>
      <c r="E9" s="232">
        <v>0</v>
      </c>
      <c r="F9" s="232">
        <v>0</v>
      </c>
      <c r="G9" s="99"/>
    </row>
    <row r="10" spans="2:7" ht="15.6" customHeight="1">
      <c r="B10" s="97"/>
      <c r="C10" s="97" t="s">
        <v>2</v>
      </c>
      <c r="D10" s="232">
        <v>1</v>
      </c>
      <c r="E10" s="232">
        <v>0</v>
      </c>
      <c r="F10" s="232">
        <v>1</v>
      </c>
      <c r="G10" s="100"/>
    </row>
    <row r="11" spans="2:7" ht="15.6" customHeight="1">
      <c r="B11" s="101"/>
      <c r="C11" s="101" t="s">
        <v>3</v>
      </c>
      <c r="D11" s="245">
        <v>38</v>
      </c>
      <c r="E11" s="234">
        <v>0</v>
      </c>
      <c r="F11" s="234">
        <v>38</v>
      </c>
      <c r="G11" s="104"/>
    </row>
    <row r="12" spans="2:7" ht="15.6" customHeight="1">
      <c r="B12" s="97"/>
      <c r="C12" s="97" t="s">
        <v>0</v>
      </c>
      <c r="D12" s="232">
        <v>19</v>
      </c>
      <c r="E12" s="232">
        <v>0</v>
      </c>
      <c r="F12" s="232">
        <v>19</v>
      </c>
      <c r="G12" s="99"/>
    </row>
    <row r="13" spans="2:7" ht="15.6" customHeight="1">
      <c r="B13" s="97"/>
      <c r="C13" s="97" t="s">
        <v>1</v>
      </c>
      <c r="D13" s="232">
        <v>4</v>
      </c>
      <c r="E13" s="232">
        <v>0</v>
      </c>
      <c r="F13" s="232">
        <v>4</v>
      </c>
      <c r="G13" s="99"/>
    </row>
    <row r="14" spans="2:7" ht="15.6" customHeight="1">
      <c r="B14" s="105"/>
      <c r="C14" s="105" t="s">
        <v>2</v>
      </c>
      <c r="D14" s="232">
        <v>15</v>
      </c>
      <c r="E14" s="232">
        <v>0</v>
      </c>
      <c r="F14" s="232">
        <v>15</v>
      </c>
      <c r="G14" s="106"/>
    </row>
    <row r="15" spans="2:7" ht="15.6" customHeight="1">
      <c r="B15" s="107"/>
      <c r="C15" s="107" t="s">
        <v>109</v>
      </c>
      <c r="D15" s="237">
        <v>1573</v>
      </c>
      <c r="E15" s="238">
        <v>748</v>
      </c>
      <c r="F15" s="238">
        <v>825</v>
      </c>
      <c r="G15" s="110"/>
    </row>
    <row r="16" spans="2:7" ht="15.6" customHeight="1">
      <c r="B16" s="97"/>
      <c r="C16" s="97" t="s">
        <v>4</v>
      </c>
      <c r="D16" s="232">
        <v>130</v>
      </c>
      <c r="E16" s="232">
        <v>0</v>
      </c>
      <c r="F16" s="232">
        <v>130</v>
      </c>
      <c r="G16" s="99"/>
    </row>
    <row r="17" spans="1:7" ht="15.6" customHeight="1">
      <c r="B17" s="97"/>
      <c r="C17" s="97" t="s">
        <v>5</v>
      </c>
      <c r="D17" s="236">
        <v>766</v>
      </c>
      <c r="E17" s="236">
        <v>262</v>
      </c>
      <c r="F17" s="236">
        <v>504</v>
      </c>
      <c r="G17" s="99"/>
    </row>
    <row r="18" spans="1:7" ht="15.6" customHeight="1">
      <c r="B18" s="97"/>
      <c r="C18" s="97" t="s">
        <v>6</v>
      </c>
      <c r="D18" s="232">
        <v>91</v>
      </c>
      <c r="E18" s="232">
        <v>0</v>
      </c>
      <c r="F18" s="232">
        <v>91</v>
      </c>
      <c r="G18" s="99"/>
    </row>
    <row r="19" spans="1:7" ht="15.6" customHeight="1">
      <c r="B19" s="97"/>
      <c r="C19" s="97" t="s">
        <v>7</v>
      </c>
      <c r="D19" s="236">
        <v>586</v>
      </c>
      <c r="E19" s="232">
        <v>486</v>
      </c>
      <c r="F19" s="232">
        <v>100</v>
      </c>
      <c r="G19" s="99"/>
    </row>
    <row r="20" spans="1:7" s="12" customFormat="1" ht="12">
      <c r="A20" s="11"/>
      <c r="B20" s="111"/>
      <c r="C20" s="111" t="s">
        <v>110</v>
      </c>
      <c r="D20" s="198">
        <v>-304</v>
      </c>
      <c r="E20" s="198">
        <v>-170</v>
      </c>
      <c r="F20" s="198">
        <v>-134</v>
      </c>
      <c r="G20" s="113"/>
    </row>
    <row r="21" spans="1:7" ht="15.6" customHeight="1">
      <c r="B21" s="114"/>
      <c r="C21" s="114" t="s">
        <v>8</v>
      </c>
      <c r="D21" s="239">
        <v>447</v>
      </c>
      <c r="E21" s="240">
        <v>50</v>
      </c>
      <c r="F21" s="239">
        <v>397</v>
      </c>
      <c r="G21" s="116"/>
    </row>
    <row r="22" spans="1:7" ht="15.6" customHeight="1">
      <c r="B22" s="114"/>
      <c r="C22" s="114" t="s">
        <v>9</v>
      </c>
      <c r="D22" s="240">
        <v>812</v>
      </c>
      <c r="E22" s="240">
        <v>759</v>
      </c>
      <c r="F22" s="240">
        <v>53</v>
      </c>
      <c r="G22" s="116"/>
    </row>
    <row r="23" spans="1:7" ht="15.6" customHeight="1">
      <c r="B23" s="114"/>
      <c r="C23" s="114" t="s">
        <v>26</v>
      </c>
      <c r="D23" s="240">
        <v>0</v>
      </c>
      <c r="E23" s="240">
        <v>0</v>
      </c>
      <c r="F23" s="240">
        <v>0</v>
      </c>
      <c r="G23" s="116"/>
    </row>
    <row r="24" spans="1:7" ht="15.6" customHeight="1">
      <c r="B24" s="107"/>
      <c r="C24" s="107" t="s">
        <v>10</v>
      </c>
      <c r="D24" s="241">
        <v>3</v>
      </c>
      <c r="E24" s="242">
        <v>1</v>
      </c>
      <c r="F24" s="242">
        <v>2</v>
      </c>
      <c r="G24" s="110"/>
    </row>
    <row r="25" spans="1:7" ht="15.6" customHeight="1">
      <c r="A25" s="13"/>
      <c r="B25" s="117"/>
      <c r="C25" s="117" t="s">
        <v>111</v>
      </c>
      <c r="D25" s="232">
        <v>0</v>
      </c>
      <c r="E25" s="232">
        <v>0</v>
      </c>
      <c r="F25" s="232">
        <v>0</v>
      </c>
      <c r="G25" s="99"/>
    </row>
    <row r="26" spans="1:7" ht="15.6" customHeight="1">
      <c r="A26" s="13"/>
      <c r="B26" s="117"/>
      <c r="C26" s="117" t="s">
        <v>112</v>
      </c>
      <c r="D26" s="232">
        <v>1</v>
      </c>
      <c r="E26" s="232">
        <v>0</v>
      </c>
      <c r="F26" s="232">
        <v>1</v>
      </c>
      <c r="G26" s="99"/>
    </row>
    <row r="27" spans="1:7" ht="15.6" customHeight="1">
      <c r="A27" s="13"/>
      <c r="B27" s="118"/>
      <c r="C27" s="118" t="s">
        <v>113</v>
      </c>
      <c r="D27" s="232">
        <v>2</v>
      </c>
      <c r="E27" s="232">
        <v>1</v>
      </c>
      <c r="F27" s="232">
        <v>1</v>
      </c>
      <c r="G27" s="106"/>
    </row>
    <row r="28" spans="1:7" ht="15.6" customHeight="1">
      <c r="B28" s="107"/>
      <c r="C28" s="107" t="s">
        <v>167</v>
      </c>
      <c r="D28" s="241">
        <v>169</v>
      </c>
      <c r="E28" s="242">
        <v>48</v>
      </c>
      <c r="F28" s="242">
        <v>121</v>
      </c>
      <c r="G28" s="110"/>
    </row>
    <row r="29" spans="1:7" ht="15.6" customHeight="1">
      <c r="B29" s="117"/>
      <c r="C29" s="117" t="s">
        <v>11</v>
      </c>
      <c r="D29" s="232">
        <v>89</v>
      </c>
      <c r="E29" s="232">
        <v>0</v>
      </c>
      <c r="F29" s="232">
        <v>89</v>
      </c>
      <c r="G29" s="99"/>
    </row>
    <row r="30" spans="1:7" ht="15.6" customHeight="1">
      <c r="B30" s="119"/>
      <c r="C30" s="119" t="s">
        <v>12</v>
      </c>
      <c r="D30" s="232">
        <v>80</v>
      </c>
      <c r="E30" s="232">
        <v>48</v>
      </c>
      <c r="F30" s="232">
        <v>32</v>
      </c>
      <c r="G30" s="106"/>
    </row>
    <row r="31" spans="1:7" ht="15.6" customHeight="1">
      <c r="B31" s="120"/>
      <c r="C31" s="120" t="s">
        <v>30</v>
      </c>
      <c r="D31" s="240">
        <v>0</v>
      </c>
      <c r="E31" s="240">
        <v>0</v>
      </c>
      <c r="F31" s="240">
        <v>0</v>
      </c>
      <c r="G31" s="116"/>
    </row>
    <row r="32" spans="1:7" ht="15.6" customHeight="1">
      <c r="B32" s="120"/>
      <c r="C32" s="120" t="s">
        <v>13</v>
      </c>
      <c r="D32" s="240">
        <v>3</v>
      </c>
      <c r="E32" s="240">
        <v>0</v>
      </c>
      <c r="F32" s="240">
        <v>3</v>
      </c>
      <c r="G32" s="116"/>
    </row>
    <row r="33" spans="1:7" ht="15.6" customHeight="1">
      <c r="A33" s="13"/>
      <c r="B33" s="107"/>
      <c r="C33" s="107" t="s">
        <v>14</v>
      </c>
      <c r="D33" s="241">
        <v>34</v>
      </c>
      <c r="E33" s="242">
        <v>28</v>
      </c>
      <c r="F33" s="242">
        <v>6</v>
      </c>
      <c r="G33" s="110"/>
    </row>
    <row r="34" spans="1:7" ht="15.6" customHeight="1">
      <c r="B34" s="117"/>
      <c r="C34" s="117" t="s">
        <v>32</v>
      </c>
      <c r="D34" s="232">
        <v>2</v>
      </c>
      <c r="E34" s="232">
        <v>0</v>
      </c>
      <c r="F34" s="232">
        <v>2</v>
      </c>
      <c r="G34" s="99"/>
    </row>
    <row r="35" spans="1:7" ht="15.6" customHeight="1">
      <c r="B35" s="117"/>
      <c r="C35" s="117" t="s">
        <v>33</v>
      </c>
      <c r="D35" s="232">
        <v>27</v>
      </c>
      <c r="E35" s="232">
        <v>26</v>
      </c>
      <c r="F35" s="232">
        <v>1</v>
      </c>
      <c r="G35" s="99"/>
    </row>
    <row r="36" spans="1:7" ht="15.6" customHeight="1">
      <c r="B36" s="117"/>
      <c r="C36" s="117" t="s">
        <v>34</v>
      </c>
      <c r="D36" s="232">
        <v>3</v>
      </c>
      <c r="E36" s="232">
        <v>0</v>
      </c>
      <c r="F36" s="232">
        <v>3</v>
      </c>
      <c r="G36" s="99"/>
    </row>
    <row r="37" spans="1:7" ht="15.6" customHeight="1">
      <c r="B37" s="118"/>
      <c r="C37" s="118" t="s">
        <v>35</v>
      </c>
      <c r="D37" s="232">
        <v>2</v>
      </c>
      <c r="E37" s="232">
        <v>2</v>
      </c>
      <c r="F37" s="232">
        <v>0</v>
      </c>
      <c r="G37" s="106"/>
    </row>
    <row r="38" spans="1:7" ht="15.6" customHeight="1">
      <c r="A38" s="13"/>
      <c r="B38" s="107"/>
      <c r="C38" s="107" t="s">
        <v>114</v>
      </c>
      <c r="D38" s="241">
        <v>78</v>
      </c>
      <c r="E38" s="242">
        <v>62</v>
      </c>
      <c r="F38" s="242">
        <v>16</v>
      </c>
      <c r="G38" s="110"/>
    </row>
    <row r="39" spans="1:7" ht="15.6" customHeight="1">
      <c r="B39" s="121"/>
      <c r="C39" s="121" t="s">
        <v>115</v>
      </c>
      <c r="D39" s="232">
        <v>11</v>
      </c>
      <c r="E39" s="232">
        <v>0</v>
      </c>
      <c r="F39" s="232">
        <v>11</v>
      </c>
      <c r="G39" s="123"/>
    </row>
    <row r="40" spans="1:7" ht="15.6" customHeight="1">
      <c r="B40" s="117"/>
      <c r="C40" s="117" t="s">
        <v>49</v>
      </c>
      <c r="D40" s="232">
        <v>65</v>
      </c>
      <c r="E40" s="232">
        <v>62</v>
      </c>
      <c r="F40" s="232">
        <v>3</v>
      </c>
      <c r="G40" s="99"/>
    </row>
    <row r="41" spans="1:7" ht="15.6" customHeight="1">
      <c r="B41" s="117"/>
      <c r="C41" s="117" t="s">
        <v>116</v>
      </c>
      <c r="D41" s="232">
        <v>2</v>
      </c>
      <c r="E41" s="232">
        <v>0</v>
      </c>
      <c r="F41" s="232">
        <v>2</v>
      </c>
      <c r="G41" s="99"/>
    </row>
    <row r="42" spans="1:7" ht="15.6" customHeight="1">
      <c r="B42" s="118"/>
      <c r="C42" s="118" t="s">
        <v>51</v>
      </c>
      <c r="D42" s="232">
        <v>0</v>
      </c>
      <c r="E42" s="232">
        <v>0</v>
      </c>
      <c r="F42" s="232">
        <v>0</v>
      </c>
      <c r="G42" s="106"/>
    </row>
    <row r="43" spans="1:7" ht="15.6" customHeight="1">
      <c r="B43" s="107"/>
      <c r="C43" s="107" t="s">
        <v>15</v>
      </c>
      <c r="D43" s="237">
        <v>775</v>
      </c>
      <c r="E43" s="238">
        <v>775</v>
      </c>
      <c r="F43" s="242">
        <v>0</v>
      </c>
      <c r="G43" s="110"/>
    </row>
    <row r="44" spans="1:7" ht="15.6" customHeight="1">
      <c r="B44" s="117"/>
      <c r="C44" s="117" t="s">
        <v>153</v>
      </c>
      <c r="D44" s="232">
        <v>87</v>
      </c>
      <c r="E44" s="232">
        <v>87</v>
      </c>
      <c r="F44" s="232">
        <v>0</v>
      </c>
      <c r="G44" s="99"/>
    </row>
    <row r="45" spans="1:7" ht="15.6" customHeight="1">
      <c r="B45" s="117"/>
      <c r="C45" s="117" t="s">
        <v>37</v>
      </c>
      <c r="D45" s="236">
        <v>687</v>
      </c>
      <c r="E45" s="236">
        <v>687</v>
      </c>
      <c r="F45" s="232">
        <v>0</v>
      </c>
      <c r="G45" s="99"/>
    </row>
    <row r="46" spans="1:7" ht="15.6" customHeight="1">
      <c r="B46" s="118"/>
      <c r="C46" s="118" t="s">
        <v>155</v>
      </c>
      <c r="D46" s="232">
        <v>1</v>
      </c>
      <c r="E46" s="232">
        <v>1</v>
      </c>
      <c r="F46" s="232">
        <v>0</v>
      </c>
      <c r="G46" s="106"/>
    </row>
    <row r="47" spans="1:7" ht="15.6" customHeight="1">
      <c r="A47" s="13"/>
      <c r="B47" s="114"/>
      <c r="C47" s="114" t="s">
        <v>52</v>
      </c>
      <c r="D47" s="239">
        <v>229</v>
      </c>
      <c r="E47" s="239">
        <v>229</v>
      </c>
      <c r="F47" s="240">
        <v>0</v>
      </c>
      <c r="G47" s="116"/>
    </row>
    <row r="48" spans="1:7" ht="15.6" customHeight="1">
      <c r="A48" s="13"/>
      <c r="B48" s="114"/>
      <c r="C48" s="114" t="s">
        <v>117</v>
      </c>
      <c r="D48" s="240">
        <v>4</v>
      </c>
      <c r="E48" s="240">
        <v>4</v>
      </c>
      <c r="F48" s="240">
        <v>0</v>
      </c>
      <c r="G48" s="116"/>
    </row>
    <row r="49" spans="1:7" ht="15.6" customHeight="1">
      <c r="A49" s="13"/>
      <c r="B49" s="107"/>
      <c r="C49" s="107" t="s">
        <v>16</v>
      </c>
      <c r="D49" s="241">
        <v>21</v>
      </c>
      <c r="E49" s="242">
        <v>18</v>
      </c>
      <c r="F49" s="242">
        <v>3</v>
      </c>
      <c r="G49" s="110"/>
    </row>
    <row r="50" spans="1:7" ht="15.6" customHeight="1">
      <c r="B50" s="97"/>
      <c r="C50" s="97" t="s">
        <v>158</v>
      </c>
      <c r="D50" s="232">
        <v>0</v>
      </c>
      <c r="E50" s="232">
        <v>0</v>
      </c>
      <c r="F50" s="232">
        <v>0</v>
      </c>
      <c r="G50" s="99"/>
    </row>
    <row r="51" spans="1:7" ht="15.6" customHeight="1">
      <c r="B51" s="97"/>
      <c r="C51" s="97" t="s">
        <v>118</v>
      </c>
      <c r="D51" s="232">
        <v>10</v>
      </c>
      <c r="E51" s="232">
        <v>8</v>
      </c>
      <c r="F51" s="232">
        <v>2</v>
      </c>
      <c r="G51" s="99"/>
    </row>
    <row r="52" spans="1:7" ht="15.6" customHeight="1">
      <c r="B52" s="105"/>
      <c r="C52" s="105" t="s">
        <v>142</v>
      </c>
      <c r="D52" s="232">
        <v>11</v>
      </c>
      <c r="E52" s="232">
        <v>10</v>
      </c>
      <c r="F52" s="232">
        <v>1</v>
      </c>
      <c r="G52" s="106"/>
    </row>
    <row r="53" spans="1:7" ht="15.6" customHeight="1">
      <c r="A53" s="13"/>
      <c r="B53" s="107"/>
      <c r="C53" s="107" t="s">
        <v>17</v>
      </c>
      <c r="D53" s="241">
        <v>16</v>
      </c>
      <c r="E53" s="242">
        <v>13</v>
      </c>
      <c r="F53" s="242">
        <v>3</v>
      </c>
      <c r="G53" s="110"/>
    </row>
    <row r="54" spans="1:7" ht="15.6" customHeight="1">
      <c r="B54" s="97"/>
      <c r="C54" s="97" t="s">
        <v>160</v>
      </c>
      <c r="D54" s="232">
        <v>0</v>
      </c>
      <c r="E54" s="232">
        <v>0</v>
      </c>
      <c r="F54" s="232">
        <v>0</v>
      </c>
      <c r="G54" s="99"/>
    </row>
    <row r="55" spans="1:7" ht="15.6" customHeight="1">
      <c r="B55" s="97"/>
      <c r="C55" s="97" t="s">
        <v>39</v>
      </c>
      <c r="D55" s="232">
        <v>6</v>
      </c>
      <c r="E55" s="232">
        <v>5</v>
      </c>
      <c r="F55" s="232">
        <v>1</v>
      </c>
      <c r="G55" s="99"/>
    </row>
    <row r="56" spans="1:7" ht="15.6" customHeight="1">
      <c r="B56" s="105"/>
      <c r="C56" s="105" t="s">
        <v>40</v>
      </c>
      <c r="D56" s="232">
        <v>10</v>
      </c>
      <c r="E56" s="232">
        <v>8</v>
      </c>
      <c r="F56" s="232">
        <v>2</v>
      </c>
      <c r="G56" s="106"/>
    </row>
    <row r="57" spans="1:7" ht="15.6" customHeight="1" thickBot="1">
      <c r="B57" s="124"/>
      <c r="C57" s="124" t="s">
        <v>119</v>
      </c>
      <c r="D57" s="243">
        <v>2240</v>
      </c>
      <c r="E57" s="243">
        <v>2240</v>
      </c>
      <c r="F57" s="244">
        <v>0</v>
      </c>
      <c r="G57" s="126"/>
    </row>
    <row r="58" spans="1:7" s="13" customFormat="1" ht="4.5" customHeight="1">
      <c r="B58" s="127"/>
      <c r="C58" s="97"/>
      <c r="D58" s="128"/>
      <c r="E58" s="128"/>
      <c r="F58" s="128"/>
      <c r="G58" s="129"/>
    </row>
    <row r="59" spans="1:7" s="5" customFormat="1" ht="11.25" customHeight="1">
      <c r="B59" s="130" t="s">
        <v>100</v>
      </c>
      <c r="C59" s="131"/>
      <c r="D59" s="132"/>
      <c r="E59" s="132"/>
      <c r="F59" s="133"/>
      <c r="G59" s="80"/>
    </row>
    <row r="60" spans="1:7" s="4" customFormat="1" ht="11.25">
      <c r="B60" s="134" t="s">
        <v>101</v>
      </c>
      <c r="C60" s="135"/>
      <c r="D60" s="136"/>
      <c r="E60" s="136"/>
      <c r="F60" s="137"/>
      <c r="G60" s="138"/>
    </row>
    <row r="61" spans="1:7" s="4" customFormat="1" ht="10.5" customHeight="1">
      <c r="B61" s="134" t="s">
        <v>102</v>
      </c>
      <c r="C61" s="139"/>
      <c r="D61" s="136"/>
      <c r="E61" s="132"/>
      <c r="F61" s="140"/>
      <c r="G61" s="79"/>
    </row>
    <row r="62" spans="1:7" s="4" customFormat="1" ht="14.1" customHeight="1">
      <c r="B62" s="134" t="s">
        <v>103</v>
      </c>
      <c r="C62" s="139"/>
      <c r="D62" s="136"/>
      <c r="E62" s="132"/>
      <c r="F62" s="140"/>
      <c r="G62" s="79"/>
    </row>
    <row r="63" spans="1:7" s="4" customFormat="1" ht="14.1" customHeight="1">
      <c r="B63" s="134" t="s">
        <v>104</v>
      </c>
      <c r="C63" s="139"/>
      <c r="D63" s="136"/>
      <c r="E63" s="132"/>
      <c r="F63" s="140"/>
      <c r="G63" s="79"/>
    </row>
    <row r="64" spans="1:7" s="17" customFormat="1" ht="17.100000000000001" customHeight="1">
      <c r="A64" s="4"/>
      <c r="B64" s="3"/>
      <c r="C64" s="16"/>
      <c r="D64" s="15"/>
      <c r="E64" s="14"/>
      <c r="F64" s="15"/>
      <c r="G64" s="4"/>
    </row>
    <row r="65" spans="4:6" ht="17.100000000000001" customHeight="1">
      <c r="D65" s="18"/>
      <c r="E65" s="19"/>
      <c r="F65" s="18"/>
    </row>
    <row r="66" spans="4:6" ht="17.100000000000001" customHeight="1">
      <c r="D66" s="18"/>
      <c r="E66" s="19"/>
      <c r="F66" s="18"/>
    </row>
  </sheetData>
  <mergeCells count="2">
    <mergeCell ref="B1:G1"/>
    <mergeCell ref="B2:G2"/>
  </mergeCells>
  <phoneticPr fontId="17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75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66"/>
  <sheetViews>
    <sheetView showGridLines="0" zoomScale="85" zoomScaleNormal="85" workbookViewId="0">
      <selection activeCell="D16" sqref="D16"/>
    </sheetView>
  </sheetViews>
  <sheetFormatPr defaultColWidth="1.7109375" defaultRowHeight="17.100000000000001" customHeight="1"/>
  <cols>
    <col min="1" max="1" width="2.28515625" style="10" customWidth="1"/>
    <col min="2" max="2" width="2.28515625" style="20" customWidth="1"/>
    <col min="3" max="3" width="29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2.28515625" style="10" customWidth="1"/>
    <col min="8" max="255" width="9.140625" style="9" customWidth="1"/>
    <col min="256" max="16384" width="1.7109375" style="9"/>
  </cols>
  <sheetData>
    <row r="1" spans="2:7" s="1" customFormat="1" ht="21.95" customHeight="1">
      <c r="B1" s="249" t="s">
        <v>105</v>
      </c>
      <c r="C1" s="249"/>
      <c r="D1" s="249"/>
      <c r="E1" s="249"/>
      <c r="F1" s="249"/>
      <c r="G1" s="249"/>
    </row>
    <row r="2" spans="2:7" s="2" customFormat="1" ht="15" customHeight="1">
      <c r="B2" s="250" t="s">
        <v>186</v>
      </c>
      <c r="C2" s="250"/>
      <c r="D2" s="250"/>
      <c r="E2" s="250"/>
      <c r="F2" s="250"/>
      <c r="G2" s="250"/>
    </row>
    <row r="3" spans="2:7" s="4" customFormat="1" ht="11.1" customHeight="1" thickBot="1">
      <c r="B3" s="77"/>
      <c r="C3" s="78"/>
      <c r="D3" s="79"/>
      <c r="E3" s="80"/>
      <c r="F3" s="81" t="s">
        <v>54</v>
      </c>
      <c r="G3" s="81"/>
    </row>
    <row r="4" spans="2:7" s="6" customFormat="1" ht="15.6" customHeight="1">
      <c r="B4" s="82"/>
      <c r="C4" s="83" t="s">
        <v>95</v>
      </c>
      <c r="D4" s="84" t="s">
        <v>55</v>
      </c>
      <c r="E4" s="84" t="s">
        <v>56</v>
      </c>
      <c r="F4" s="84" t="s">
        <v>57</v>
      </c>
      <c r="G4" s="85"/>
    </row>
    <row r="5" spans="2:7" s="7" customFormat="1" ht="20.100000000000001" customHeight="1">
      <c r="B5" s="86"/>
      <c r="C5" s="87" t="s">
        <v>106</v>
      </c>
      <c r="D5" s="88">
        <f>SUM(D7,D11,D15,D21,D22,D23,D24,D28,D31,D32,D33,D38,D43,D47,D48,D49,D53,D57)</f>
        <v>201756</v>
      </c>
      <c r="E5" s="88">
        <f t="shared" ref="E5:F5" si="0">SUM(E7,E11,E15,E21,E22,E23,E24,E28,E31,E32,E33,E38,E43,E47,E48,E49,E53,E57)</f>
        <v>134634</v>
      </c>
      <c r="F5" s="88">
        <f t="shared" si="0"/>
        <v>67122</v>
      </c>
      <c r="G5" s="89"/>
    </row>
    <row r="6" spans="2:7" s="8" customFormat="1" ht="15" customHeight="1" thickBot="1">
      <c r="B6" s="90"/>
      <c r="C6" s="91" t="s">
        <v>107</v>
      </c>
      <c r="D6" s="92">
        <v>-13266</v>
      </c>
      <c r="E6" s="92">
        <v>-6523</v>
      </c>
      <c r="F6" s="92">
        <v>-6743</v>
      </c>
      <c r="G6" s="93"/>
    </row>
    <row r="7" spans="2:7" ht="15.6" customHeight="1" thickTop="1">
      <c r="B7" s="94"/>
      <c r="C7" s="94" t="s">
        <v>108</v>
      </c>
      <c r="D7" s="231">
        <v>199</v>
      </c>
      <c r="E7" s="231">
        <v>0</v>
      </c>
      <c r="F7" s="231">
        <v>199</v>
      </c>
      <c r="G7" s="96"/>
    </row>
    <row r="8" spans="2:7" ht="15.6" customHeight="1">
      <c r="B8" s="97"/>
      <c r="C8" s="97" t="s">
        <v>0</v>
      </c>
      <c r="D8" s="232">
        <v>187</v>
      </c>
      <c r="E8" s="232">
        <v>0</v>
      </c>
      <c r="F8" s="232">
        <v>187</v>
      </c>
      <c r="G8" s="99"/>
    </row>
    <row r="9" spans="2:7" ht="15.6" customHeight="1">
      <c r="B9" s="97"/>
      <c r="C9" s="97" t="s">
        <v>1</v>
      </c>
      <c r="D9" s="232">
        <v>2</v>
      </c>
      <c r="E9" s="232">
        <v>0</v>
      </c>
      <c r="F9" s="232">
        <v>2</v>
      </c>
      <c r="G9" s="99"/>
    </row>
    <row r="10" spans="2:7" ht="15.6" customHeight="1">
      <c r="B10" s="97"/>
      <c r="C10" s="97" t="s">
        <v>2</v>
      </c>
      <c r="D10" s="232">
        <v>10</v>
      </c>
      <c r="E10" s="232">
        <v>0</v>
      </c>
      <c r="F10" s="232">
        <v>10</v>
      </c>
      <c r="G10" s="100"/>
    </row>
    <row r="11" spans="2:7" ht="15.6" customHeight="1">
      <c r="B11" s="101"/>
      <c r="C11" s="101" t="s">
        <v>3</v>
      </c>
      <c r="D11" s="233">
        <v>2138</v>
      </c>
      <c r="E11" s="234">
        <v>1</v>
      </c>
      <c r="F11" s="235">
        <v>2137</v>
      </c>
      <c r="G11" s="104"/>
    </row>
    <row r="12" spans="2:7" ht="15.6" customHeight="1">
      <c r="B12" s="97"/>
      <c r="C12" s="97" t="s">
        <v>0</v>
      </c>
      <c r="D12" s="236">
        <v>1256</v>
      </c>
      <c r="E12" s="232">
        <v>1</v>
      </c>
      <c r="F12" s="236">
        <v>1255</v>
      </c>
      <c r="G12" s="99"/>
    </row>
    <row r="13" spans="2:7" ht="15.6" customHeight="1">
      <c r="B13" s="97"/>
      <c r="C13" s="97" t="s">
        <v>1</v>
      </c>
      <c r="D13" s="232">
        <v>176</v>
      </c>
      <c r="E13" s="232">
        <v>0</v>
      </c>
      <c r="F13" s="232">
        <v>176</v>
      </c>
      <c r="G13" s="99"/>
    </row>
    <row r="14" spans="2:7" ht="15.6" customHeight="1">
      <c r="B14" s="105"/>
      <c r="C14" s="105" t="s">
        <v>2</v>
      </c>
      <c r="D14" s="232">
        <v>706</v>
      </c>
      <c r="E14" s="232">
        <v>0</v>
      </c>
      <c r="F14" s="232">
        <v>706</v>
      </c>
      <c r="G14" s="106"/>
    </row>
    <row r="15" spans="2:7" ht="15.6" customHeight="1">
      <c r="B15" s="107"/>
      <c r="C15" s="107" t="s">
        <v>109</v>
      </c>
      <c r="D15" s="237">
        <v>61479</v>
      </c>
      <c r="E15" s="238">
        <v>23682</v>
      </c>
      <c r="F15" s="238">
        <v>37797</v>
      </c>
      <c r="G15" s="110"/>
    </row>
    <row r="16" spans="2:7" ht="15.6" customHeight="1">
      <c r="B16" s="97"/>
      <c r="C16" s="97" t="s">
        <v>4</v>
      </c>
      <c r="D16" s="236">
        <v>7001</v>
      </c>
      <c r="E16" s="232">
        <v>0</v>
      </c>
      <c r="F16" s="236">
        <v>7001</v>
      </c>
      <c r="G16" s="99"/>
    </row>
    <row r="17" spans="1:7" ht="15.6" customHeight="1">
      <c r="B17" s="97"/>
      <c r="C17" s="97" t="s">
        <v>5</v>
      </c>
      <c r="D17" s="236">
        <v>34714</v>
      </c>
      <c r="E17" s="236">
        <v>11660</v>
      </c>
      <c r="F17" s="236">
        <v>23054</v>
      </c>
      <c r="G17" s="99"/>
    </row>
    <row r="18" spans="1:7" ht="15.6" customHeight="1">
      <c r="B18" s="97"/>
      <c r="C18" s="97" t="s">
        <v>6</v>
      </c>
      <c r="D18" s="236">
        <v>3274</v>
      </c>
      <c r="E18" s="232">
        <v>0</v>
      </c>
      <c r="F18" s="236">
        <v>3274</v>
      </c>
      <c r="G18" s="99"/>
    </row>
    <row r="19" spans="1:7" ht="15.6" customHeight="1">
      <c r="B19" s="97"/>
      <c r="C19" s="97" t="s">
        <v>7</v>
      </c>
      <c r="D19" s="236">
        <v>16490</v>
      </c>
      <c r="E19" s="236">
        <v>12022</v>
      </c>
      <c r="F19" s="236">
        <v>4468</v>
      </c>
      <c r="G19" s="99"/>
    </row>
    <row r="20" spans="1:7" s="12" customFormat="1" ht="12">
      <c r="A20" s="11"/>
      <c r="B20" s="111"/>
      <c r="C20" s="111" t="s">
        <v>110</v>
      </c>
      <c r="D20" s="198">
        <v>-13266</v>
      </c>
      <c r="E20" s="198">
        <v>-6523</v>
      </c>
      <c r="F20" s="198">
        <v>-6743</v>
      </c>
      <c r="G20" s="113"/>
    </row>
    <row r="21" spans="1:7" ht="15.6" customHeight="1">
      <c r="B21" s="114"/>
      <c r="C21" s="114" t="s">
        <v>8</v>
      </c>
      <c r="D21" s="239">
        <v>23649</v>
      </c>
      <c r="E21" s="239">
        <v>2810</v>
      </c>
      <c r="F21" s="239">
        <v>20839</v>
      </c>
      <c r="G21" s="116"/>
    </row>
    <row r="22" spans="1:7" ht="15.6" customHeight="1">
      <c r="B22" s="114"/>
      <c r="C22" s="114" t="s">
        <v>9</v>
      </c>
      <c r="D22" s="239">
        <v>15802</v>
      </c>
      <c r="E22" s="239">
        <v>13420</v>
      </c>
      <c r="F22" s="239">
        <v>2382</v>
      </c>
      <c r="G22" s="116"/>
    </row>
    <row r="23" spans="1:7" ht="15.6" customHeight="1">
      <c r="B23" s="114"/>
      <c r="C23" s="114" t="s">
        <v>26</v>
      </c>
      <c r="D23" s="240">
        <v>67</v>
      </c>
      <c r="E23" s="240">
        <v>0</v>
      </c>
      <c r="F23" s="240">
        <v>67</v>
      </c>
      <c r="G23" s="116"/>
    </row>
    <row r="24" spans="1:7" ht="15.6" customHeight="1">
      <c r="B24" s="107"/>
      <c r="C24" s="107" t="s">
        <v>10</v>
      </c>
      <c r="D24" s="241">
        <v>278</v>
      </c>
      <c r="E24" s="242">
        <v>119</v>
      </c>
      <c r="F24" s="242">
        <v>159</v>
      </c>
      <c r="G24" s="110"/>
    </row>
    <row r="25" spans="1:7" ht="15.6" customHeight="1">
      <c r="A25" s="13"/>
      <c r="B25" s="117"/>
      <c r="C25" s="117" t="s">
        <v>111</v>
      </c>
      <c r="D25" s="232">
        <v>7</v>
      </c>
      <c r="E25" s="232">
        <v>0</v>
      </c>
      <c r="F25" s="232">
        <v>7</v>
      </c>
      <c r="G25" s="99"/>
    </row>
    <row r="26" spans="1:7" ht="15.6" customHeight="1">
      <c r="A26" s="13"/>
      <c r="B26" s="117"/>
      <c r="C26" s="117" t="s">
        <v>112</v>
      </c>
      <c r="D26" s="232">
        <v>114</v>
      </c>
      <c r="E26" s="232">
        <v>44</v>
      </c>
      <c r="F26" s="232">
        <v>70</v>
      </c>
      <c r="G26" s="99"/>
    </row>
    <row r="27" spans="1:7" ht="15.6" customHeight="1">
      <c r="A27" s="13"/>
      <c r="B27" s="118"/>
      <c r="C27" s="118" t="s">
        <v>113</v>
      </c>
      <c r="D27" s="232">
        <v>157</v>
      </c>
      <c r="E27" s="232">
        <v>75</v>
      </c>
      <c r="F27" s="232">
        <v>82</v>
      </c>
      <c r="G27" s="106"/>
    </row>
    <row r="28" spans="1:7" ht="15.6" customHeight="1">
      <c r="B28" s="107"/>
      <c r="C28" s="107" t="s">
        <v>167</v>
      </c>
      <c r="D28" s="237">
        <v>2808</v>
      </c>
      <c r="E28" s="242">
        <v>526</v>
      </c>
      <c r="F28" s="238">
        <v>2282</v>
      </c>
      <c r="G28" s="110"/>
    </row>
    <row r="29" spans="1:7" ht="15.6" customHeight="1">
      <c r="B29" s="117"/>
      <c r="C29" s="117" t="s">
        <v>11</v>
      </c>
      <c r="D29" s="236">
        <v>1710</v>
      </c>
      <c r="E29" s="232">
        <v>0</v>
      </c>
      <c r="F29" s="236">
        <v>1710</v>
      </c>
      <c r="G29" s="99"/>
    </row>
    <row r="30" spans="1:7" ht="15.6" customHeight="1">
      <c r="B30" s="119"/>
      <c r="C30" s="119" t="s">
        <v>12</v>
      </c>
      <c r="D30" s="236">
        <v>1098</v>
      </c>
      <c r="E30" s="232">
        <v>526</v>
      </c>
      <c r="F30" s="232">
        <v>572</v>
      </c>
      <c r="G30" s="106"/>
    </row>
    <row r="31" spans="1:7" ht="15.6" customHeight="1">
      <c r="B31" s="120"/>
      <c r="C31" s="120" t="s">
        <v>30</v>
      </c>
      <c r="D31" s="240">
        <v>5</v>
      </c>
      <c r="E31" s="240">
        <v>0</v>
      </c>
      <c r="F31" s="240">
        <v>5</v>
      </c>
      <c r="G31" s="116"/>
    </row>
    <row r="32" spans="1:7" ht="15.6" customHeight="1">
      <c r="B32" s="120"/>
      <c r="C32" s="120" t="s">
        <v>13</v>
      </c>
      <c r="D32" s="240">
        <v>125</v>
      </c>
      <c r="E32" s="240">
        <v>3</v>
      </c>
      <c r="F32" s="240">
        <v>122</v>
      </c>
      <c r="G32" s="116"/>
    </row>
    <row r="33" spans="1:7" ht="15.6" customHeight="1">
      <c r="A33" s="13"/>
      <c r="B33" s="107"/>
      <c r="C33" s="107" t="s">
        <v>14</v>
      </c>
      <c r="D33" s="241">
        <v>610</v>
      </c>
      <c r="E33" s="242">
        <v>502</v>
      </c>
      <c r="F33" s="242">
        <v>108</v>
      </c>
      <c r="G33" s="110"/>
    </row>
    <row r="34" spans="1:7" ht="15.6" customHeight="1">
      <c r="B34" s="117"/>
      <c r="C34" s="117" t="s">
        <v>32</v>
      </c>
      <c r="D34" s="232">
        <v>21</v>
      </c>
      <c r="E34" s="232">
        <v>0</v>
      </c>
      <c r="F34" s="232">
        <v>21</v>
      </c>
      <c r="G34" s="99"/>
    </row>
    <row r="35" spans="1:7" ht="15.6" customHeight="1">
      <c r="B35" s="117"/>
      <c r="C35" s="117" t="s">
        <v>33</v>
      </c>
      <c r="D35" s="232">
        <v>463</v>
      </c>
      <c r="E35" s="232">
        <v>436</v>
      </c>
      <c r="F35" s="232">
        <v>27</v>
      </c>
      <c r="G35" s="99"/>
    </row>
    <row r="36" spans="1:7" ht="15.6" customHeight="1">
      <c r="B36" s="117"/>
      <c r="C36" s="117" t="s">
        <v>34</v>
      </c>
      <c r="D36" s="232">
        <v>38</v>
      </c>
      <c r="E36" s="232">
        <v>0</v>
      </c>
      <c r="F36" s="232">
        <v>38</v>
      </c>
      <c r="G36" s="99"/>
    </row>
    <row r="37" spans="1:7" ht="15.6" customHeight="1">
      <c r="B37" s="118"/>
      <c r="C37" s="118" t="s">
        <v>35</v>
      </c>
      <c r="D37" s="232">
        <v>88</v>
      </c>
      <c r="E37" s="232">
        <v>66</v>
      </c>
      <c r="F37" s="232">
        <v>22</v>
      </c>
      <c r="G37" s="106"/>
    </row>
    <row r="38" spans="1:7" ht="15.6" customHeight="1">
      <c r="A38" s="31"/>
      <c r="B38" s="107"/>
      <c r="C38" s="107" t="s">
        <v>114</v>
      </c>
      <c r="D38" s="237">
        <v>2437</v>
      </c>
      <c r="E38" s="238">
        <v>1867</v>
      </c>
      <c r="F38" s="242">
        <v>570</v>
      </c>
      <c r="G38" s="110"/>
    </row>
    <row r="39" spans="1:7" ht="15.6" customHeight="1">
      <c r="B39" s="121"/>
      <c r="C39" s="121" t="s">
        <v>115</v>
      </c>
      <c r="D39" s="232">
        <v>361</v>
      </c>
      <c r="E39" s="232">
        <v>0</v>
      </c>
      <c r="F39" s="232">
        <v>361</v>
      </c>
      <c r="G39" s="123"/>
    </row>
    <row r="40" spans="1:7" ht="15.6" customHeight="1">
      <c r="B40" s="117"/>
      <c r="C40" s="117" t="s">
        <v>49</v>
      </c>
      <c r="D40" s="236">
        <v>1960</v>
      </c>
      <c r="E40" s="236">
        <v>1814</v>
      </c>
      <c r="F40" s="232">
        <v>146</v>
      </c>
      <c r="G40" s="99"/>
    </row>
    <row r="41" spans="1:7" ht="15.6" customHeight="1">
      <c r="B41" s="117"/>
      <c r="C41" s="117" t="s">
        <v>116</v>
      </c>
      <c r="D41" s="232">
        <v>56</v>
      </c>
      <c r="E41" s="232">
        <v>0</v>
      </c>
      <c r="F41" s="232">
        <v>56</v>
      </c>
      <c r="G41" s="99"/>
    </row>
    <row r="42" spans="1:7" ht="15.6" customHeight="1">
      <c r="B42" s="118"/>
      <c r="C42" s="118" t="s">
        <v>51</v>
      </c>
      <c r="D42" s="232">
        <v>60</v>
      </c>
      <c r="E42" s="232">
        <v>53</v>
      </c>
      <c r="F42" s="232">
        <v>7</v>
      </c>
      <c r="G42" s="106"/>
    </row>
    <row r="43" spans="1:7" ht="15.6" customHeight="1">
      <c r="B43" s="107"/>
      <c r="C43" s="107" t="s">
        <v>15</v>
      </c>
      <c r="D43" s="237">
        <v>42573</v>
      </c>
      <c r="E43" s="237">
        <v>42573</v>
      </c>
      <c r="F43" s="242">
        <v>0</v>
      </c>
      <c r="G43" s="110"/>
    </row>
    <row r="44" spans="1:7" ht="15.6" customHeight="1">
      <c r="B44" s="117"/>
      <c r="C44" s="117" t="s">
        <v>153</v>
      </c>
      <c r="D44" s="236">
        <v>5936</v>
      </c>
      <c r="E44" s="236">
        <v>5936</v>
      </c>
      <c r="F44" s="232">
        <v>0</v>
      </c>
      <c r="G44" s="99"/>
    </row>
    <row r="45" spans="1:7" ht="15.6" customHeight="1">
      <c r="B45" s="117"/>
      <c r="C45" s="117" t="s">
        <v>37</v>
      </c>
      <c r="D45" s="236">
        <v>36351</v>
      </c>
      <c r="E45" s="236">
        <v>36351</v>
      </c>
      <c r="F45" s="232">
        <v>0</v>
      </c>
      <c r="G45" s="99"/>
    </row>
    <row r="46" spans="1:7" ht="15.6" customHeight="1">
      <c r="B46" s="118"/>
      <c r="C46" s="118" t="s">
        <v>155</v>
      </c>
      <c r="D46" s="232">
        <v>286</v>
      </c>
      <c r="E46" s="232">
        <v>286</v>
      </c>
      <c r="F46" s="232">
        <v>0</v>
      </c>
      <c r="G46" s="106"/>
    </row>
    <row r="47" spans="1:7" ht="15.6" customHeight="1">
      <c r="A47" s="13"/>
      <c r="B47" s="114"/>
      <c r="C47" s="114" t="s">
        <v>52</v>
      </c>
      <c r="D47" s="239">
        <v>8071</v>
      </c>
      <c r="E47" s="239">
        <v>8071</v>
      </c>
      <c r="F47" s="240">
        <v>0</v>
      </c>
      <c r="G47" s="116"/>
    </row>
    <row r="48" spans="1:7" ht="15.6" customHeight="1">
      <c r="A48" s="13"/>
      <c r="B48" s="114"/>
      <c r="C48" s="114" t="s">
        <v>117</v>
      </c>
      <c r="D48" s="240">
        <v>30</v>
      </c>
      <c r="E48" s="240">
        <v>30</v>
      </c>
      <c r="F48" s="240">
        <v>0</v>
      </c>
      <c r="G48" s="116"/>
    </row>
    <row r="49" spans="1:7" ht="15.6" customHeight="1">
      <c r="A49" s="13"/>
      <c r="B49" s="107"/>
      <c r="C49" s="107" t="s">
        <v>16</v>
      </c>
      <c r="D49" s="241">
        <v>636</v>
      </c>
      <c r="E49" s="242">
        <v>489</v>
      </c>
      <c r="F49" s="242">
        <v>147</v>
      </c>
      <c r="G49" s="110"/>
    </row>
    <row r="50" spans="1:7" ht="15.6" customHeight="1">
      <c r="B50" s="97"/>
      <c r="C50" s="97" t="s">
        <v>158</v>
      </c>
      <c r="D50" s="232">
        <v>22</v>
      </c>
      <c r="E50" s="232">
        <v>0</v>
      </c>
      <c r="F50" s="232">
        <v>22</v>
      </c>
      <c r="G50" s="99"/>
    </row>
    <row r="51" spans="1:7" ht="15.6" customHeight="1">
      <c r="B51" s="97"/>
      <c r="C51" s="97" t="s">
        <v>118</v>
      </c>
      <c r="D51" s="232">
        <v>299</v>
      </c>
      <c r="E51" s="232">
        <v>216</v>
      </c>
      <c r="F51" s="232">
        <v>83</v>
      </c>
      <c r="G51" s="99"/>
    </row>
    <row r="52" spans="1:7" ht="15.6" customHeight="1">
      <c r="B52" s="105"/>
      <c r="C52" s="105" t="s">
        <v>142</v>
      </c>
      <c r="D52" s="232">
        <v>315</v>
      </c>
      <c r="E52" s="232">
        <v>273</v>
      </c>
      <c r="F52" s="232">
        <v>42</v>
      </c>
      <c r="G52" s="106"/>
    </row>
    <row r="53" spans="1:7" ht="15.6" customHeight="1">
      <c r="A53" s="13"/>
      <c r="B53" s="107"/>
      <c r="C53" s="107" t="s">
        <v>17</v>
      </c>
      <c r="D53" s="237">
        <v>1037</v>
      </c>
      <c r="E53" s="242">
        <v>729</v>
      </c>
      <c r="F53" s="242">
        <v>308</v>
      </c>
      <c r="G53" s="110"/>
    </row>
    <row r="54" spans="1:7" ht="15.6" customHeight="1">
      <c r="B54" s="97"/>
      <c r="C54" s="97" t="s">
        <v>160</v>
      </c>
      <c r="D54" s="232">
        <v>7</v>
      </c>
      <c r="E54" s="232">
        <v>0</v>
      </c>
      <c r="F54" s="232">
        <v>7</v>
      </c>
      <c r="G54" s="99"/>
    </row>
    <row r="55" spans="1:7" ht="15.6" customHeight="1">
      <c r="B55" s="97"/>
      <c r="C55" s="97" t="s">
        <v>39</v>
      </c>
      <c r="D55" s="232">
        <v>313</v>
      </c>
      <c r="E55" s="232">
        <v>266</v>
      </c>
      <c r="F55" s="232">
        <v>47</v>
      </c>
      <c r="G55" s="99"/>
    </row>
    <row r="56" spans="1:7" ht="15.6" customHeight="1">
      <c r="B56" s="105"/>
      <c r="C56" s="105" t="s">
        <v>40</v>
      </c>
      <c r="D56" s="232">
        <v>717</v>
      </c>
      <c r="E56" s="232">
        <v>463</v>
      </c>
      <c r="F56" s="232">
        <v>254</v>
      </c>
      <c r="G56" s="106"/>
    </row>
    <row r="57" spans="1:7" ht="15.6" customHeight="1" thickBot="1">
      <c r="B57" s="124"/>
      <c r="C57" s="124" t="s">
        <v>119</v>
      </c>
      <c r="D57" s="243">
        <v>39812</v>
      </c>
      <c r="E57" s="243">
        <v>39812</v>
      </c>
      <c r="F57" s="244">
        <v>0</v>
      </c>
      <c r="G57" s="126"/>
    </row>
    <row r="58" spans="1:7" s="13" customFormat="1" ht="3.75" customHeight="1">
      <c r="B58" s="127"/>
      <c r="C58" s="97"/>
      <c r="D58" s="128"/>
      <c r="E58" s="128"/>
      <c r="F58" s="128"/>
      <c r="G58" s="129"/>
    </row>
    <row r="59" spans="1:7" s="5" customFormat="1" ht="11.25" customHeight="1">
      <c r="B59" s="130" t="s">
        <v>100</v>
      </c>
      <c r="C59" s="131"/>
      <c r="D59" s="132"/>
      <c r="E59" s="132"/>
      <c r="F59" s="133"/>
      <c r="G59" s="80"/>
    </row>
    <row r="60" spans="1:7" s="4" customFormat="1" ht="11.25">
      <c r="B60" s="134" t="s">
        <v>101</v>
      </c>
      <c r="C60" s="135"/>
      <c r="D60" s="136"/>
      <c r="E60" s="136"/>
      <c r="F60" s="137"/>
      <c r="G60" s="138"/>
    </row>
    <row r="61" spans="1:7" s="4" customFormat="1" ht="11.25" customHeight="1">
      <c r="B61" s="134" t="s">
        <v>102</v>
      </c>
      <c r="C61" s="139"/>
      <c r="D61" s="136"/>
      <c r="E61" s="132"/>
      <c r="F61" s="140"/>
      <c r="G61" s="79"/>
    </row>
    <row r="62" spans="1:7" s="4" customFormat="1" ht="14.1" customHeight="1">
      <c r="B62" s="134" t="s">
        <v>103</v>
      </c>
      <c r="C62" s="139"/>
      <c r="D62" s="136"/>
      <c r="E62" s="132"/>
      <c r="F62" s="140"/>
      <c r="G62" s="79"/>
    </row>
    <row r="63" spans="1:7" s="4" customFormat="1" ht="14.1" customHeight="1">
      <c r="B63" s="134" t="s">
        <v>104</v>
      </c>
      <c r="C63" s="139"/>
      <c r="D63" s="136"/>
      <c r="E63" s="132"/>
      <c r="F63" s="140"/>
      <c r="G63" s="79"/>
    </row>
    <row r="64" spans="1:7" s="17" customFormat="1" ht="17.100000000000001" customHeight="1">
      <c r="A64" s="4"/>
      <c r="B64" s="3"/>
      <c r="C64" s="16"/>
      <c r="D64" s="15"/>
      <c r="E64" s="14"/>
      <c r="F64" s="15"/>
      <c r="G64" s="4"/>
    </row>
    <row r="65" spans="4:6" ht="17.100000000000001" customHeight="1">
      <c r="D65" s="18"/>
      <c r="E65" s="19"/>
      <c r="F65" s="18"/>
    </row>
    <row r="66" spans="4:6" ht="17.100000000000001" customHeight="1">
      <c r="D66" s="18"/>
      <c r="E66" s="19"/>
      <c r="F66" s="18"/>
    </row>
  </sheetData>
  <mergeCells count="2">
    <mergeCell ref="B1:G1"/>
    <mergeCell ref="B2:G2"/>
  </mergeCells>
  <phoneticPr fontId="17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75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H66"/>
  <sheetViews>
    <sheetView showGridLines="0" zoomScale="85" zoomScaleNormal="85" workbookViewId="0">
      <selection activeCell="D14" sqref="D14"/>
    </sheetView>
  </sheetViews>
  <sheetFormatPr defaultColWidth="1.7109375" defaultRowHeight="17.100000000000001" customHeight="1"/>
  <cols>
    <col min="1" max="1" width="2.28515625" style="10" customWidth="1"/>
    <col min="2" max="2" width="2.28515625" style="20" customWidth="1"/>
    <col min="3" max="3" width="29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2.28515625" style="10" customWidth="1"/>
    <col min="8" max="255" width="9.140625" style="9" customWidth="1"/>
    <col min="256" max="16384" width="1.7109375" style="9"/>
  </cols>
  <sheetData>
    <row r="1" spans="2:7" s="1" customFormat="1" ht="21.95" customHeight="1">
      <c r="B1" s="249" t="s">
        <v>105</v>
      </c>
      <c r="C1" s="249"/>
      <c r="D1" s="249"/>
      <c r="E1" s="249"/>
      <c r="F1" s="249"/>
      <c r="G1" s="249"/>
    </row>
    <row r="2" spans="2:7" s="2" customFormat="1" ht="15" customHeight="1">
      <c r="B2" s="250" t="s">
        <v>187</v>
      </c>
      <c r="C2" s="250"/>
      <c r="D2" s="250"/>
      <c r="E2" s="250"/>
      <c r="F2" s="250"/>
      <c r="G2" s="250"/>
    </row>
    <row r="3" spans="2:7" s="4" customFormat="1" ht="11.1" customHeight="1" thickBot="1">
      <c r="B3" s="77"/>
      <c r="C3" s="78"/>
      <c r="D3" s="79"/>
      <c r="E3" s="80"/>
      <c r="F3" s="81" t="s">
        <v>54</v>
      </c>
      <c r="G3" s="81"/>
    </row>
    <row r="4" spans="2:7" s="6" customFormat="1" ht="15.6" customHeight="1">
      <c r="B4" s="82"/>
      <c r="C4" s="83" t="s">
        <v>95</v>
      </c>
      <c r="D4" s="84" t="s">
        <v>55</v>
      </c>
      <c r="E4" s="84" t="s">
        <v>56</v>
      </c>
      <c r="F4" s="84" t="s">
        <v>57</v>
      </c>
      <c r="G4" s="85"/>
    </row>
    <row r="5" spans="2:7" s="7" customFormat="1" ht="20.100000000000001" customHeight="1">
      <c r="B5" s="86"/>
      <c r="C5" s="87" t="s">
        <v>106</v>
      </c>
      <c r="D5" s="88">
        <f>SUM(D7,D11,D15,D21,D22,D23,D24,D28,D31,D32,D33,D38,D43,D47,D48,D49,D53,D57)</f>
        <v>39920</v>
      </c>
      <c r="E5" s="88">
        <f t="shared" ref="E5:F5" si="0">SUM(E7,E11,E15,E21,E22,E23,E24,E28,E31,E32,E33,E38,E43,E47,E48,E49,E53,E57)</f>
        <v>27771</v>
      </c>
      <c r="F5" s="88">
        <f t="shared" si="0"/>
        <v>12149</v>
      </c>
      <c r="G5" s="89"/>
    </row>
    <row r="6" spans="2:7" s="8" customFormat="1" ht="15" customHeight="1" thickBot="1">
      <c r="B6" s="90"/>
      <c r="C6" s="91" t="s">
        <v>107</v>
      </c>
      <c r="D6" s="92">
        <v>-2481</v>
      </c>
      <c r="E6" s="92">
        <v>-1317</v>
      </c>
      <c r="F6" s="92">
        <v>-1164</v>
      </c>
      <c r="G6" s="93"/>
    </row>
    <row r="7" spans="2:7" ht="15.6" customHeight="1" thickTop="1">
      <c r="B7" s="94"/>
      <c r="C7" s="94" t="s">
        <v>108</v>
      </c>
      <c r="D7" s="95">
        <v>33</v>
      </c>
      <c r="E7" s="95">
        <v>0</v>
      </c>
      <c r="F7" s="95">
        <v>33</v>
      </c>
      <c r="G7" s="96"/>
    </row>
    <row r="8" spans="2:7" ht="15.6" customHeight="1">
      <c r="B8" s="97"/>
      <c r="C8" s="97" t="s">
        <v>0</v>
      </c>
      <c r="D8" s="98">
        <v>28</v>
      </c>
      <c r="E8" s="98">
        <v>0</v>
      </c>
      <c r="F8" s="98">
        <v>28</v>
      </c>
      <c r="G8" s="99"/>
    </row>
    <row r="9" spans="2:7" ht="15.6" customHeight="1">
      <c r="B9" s="97"/>
      <c r="C9" s="97" t="s">
        <v>1</v>
      </c>
      <c r="D9" s="98">
        <v>2</v>
      </c>
      <c r="E9" s="98">
        <v>0</v>
      </c>
      <c r="F9" s="98">
        <v>2</v>
      </c>
      <c r="G9" s="99"/>
    </row>
    <row r="10" spans="2:7" ht="15.6" customHeight="1">
      <c r="B10" s="97"/>
      <c r="C10" s="97" t="s">
        <v>2</v>
      </c>
      <c r="D10" s="98">
        <v>3</v>
      </c>
      <c r="E10" s="98">
        <v>0</v>
      </c>
      <c r="F10" s="98">
        <v>3</v>
      </c>
      <c r="G10" s="100"/>
    </row>
    <row r="11" spans="2:7" ht="15.6" customHeight="1">
      <c r="B11" s="101"/>
      <c r="C11" s="101" t="s">
        <v>3</v>
      </c>
      <c r="D11" s="102">
        <v>192</v>
      </c>
      <c r="E11" s="103">
        <v>0</v>
      </c>
      <c r="F11" s="103">
        <v>192</v>
      </c>
      <c r="G11" s="104"/>
    </row>
    <row r="12" spans="2:7" ht="15.6" customHeight="1">
      <c r="B12" s="97"/>
      <c r="C12" s="97" t="s">
        <v>0</v>
      </c>
      <c r="D12" s="98">
        <v>108</v>
      </c>
      <c r="E12" s="98">
        <v>0</v>
      </c>
      <c r="F12" s="98">
        <v>108</v>
      </c>
      <c r="G12" s="99"/>
    </row>
    <row r="13" spans="2:7" ht="15.6" customHeight="1">
      <c r="B13" s="97"/>
      <c r="C13" s="97" t="s">
        <v>1</v>
      </c>
      <c r="D13" s="98">
        <v>16</v>
      </c>
      <c r="E13" s="98">
        <v>0</v>
      </c>
      <c r="F13" s="98">
        <v>16</v>
      </c>
      <c r="G13" s="99"/>
    </row>
    <row r="14" spans="2:7" ht="15.6" customHeight="1">
      <c r="B14" s="105"/>
      <c r="C14" s="105" t="s">
        <v>2</v>
      </c>
      <c r="D14" s="98">
        <v>68</v>
      </c>
      <c r="E14" s="98">
        <v>0</v>
      </c>
      <c r="F14" s="98">
        <v>68</v>
      </c>
      <c r="G14" s="106"/>
    </row>
    <row r="15" spans="2:7" ht="15.6" customHeight="1">
      <c r="B15" s="107"/>
      <c r="C15" s="107" t="s">
        <v>109</v>
      </c>
      <c r="D15" s="108">
        <v>11266</v>
      </c>
      <c r="E15" s="109">
        <v>4023</v>
      </c>
      <c r="F15" s="109">
        <v>7243</v>
      </c>
      <c r="G15" s="110"/>
    </row>
    <row r="16" spans="2:7" ht="15.6" customHeight="1">
      <c r="B16" s="97"/>
      <c r="C16" s="97" t="s">
        <v>4</v>
      </c>
      <c r="D16" s="98">
        <v>1308</v>
      </c>
      <c r="E16" s="98">
        <v>0</v>
      </c>
      <c r="F16" s="98">
        <v>1308</v>
      </c>
      <c r="G16" s="99"/>
    </row>
    <row r="17" spans="1:7" ht="15.6" customHeight="1">
      <c r="B17" s="97"/>
      <c r="C17" s="97" t="s">
        <v>5</v>
      </c>
      <c r="D17" s="98">
        <v>6326</v>
      </c>
      <c r="E17" s="98">
        <v>2085</v>
      </c>
      <c r="F17" s="98">
        <v>4241</v>
      </c>
      <c r="G17" s="99"/>
    </row>
    <row r="18" spans="1:7" ht="15.6" customHeight="1">
      <c r="B18" s="97"/>
      <c r="C18" s="97" t="s">
        <v>6</v>
      </c>
      <c r="D18" s="98">
        <v>719</v>
      </c>
      <c r="E18" s="98">
        <v>0</v>
      </c>
      <c r="F18" s="98">
        <v>719</v>
      </c>
      <c r="G18" s="99"/>
    </row>
    <row r="19" spans="1:7" ht="15.6" customHeight="1">
      <c r="B19" s="97"/>
      <c r="C19" s="97" t="s">
        <v>7</v>
      </c>
      <c r="D19" s="98">
        <v>2913</v>
      </c>
      <c r="E19" s="98">
        <v>1938</v>
      </c>
      <c r="F19" s="98">
        <v>975</v>
      </c>
      <c r="G19" s="99"/>
    </row>
    <row r="20" spans="1:7" s="12" customFormat="1" ht="12">
      <c r="A20" s="11"/>
      <c r="B20" s="111"/>
      <c r="C20" s="111" t="s">
        <v>110</v>
      </c>
      <c r="D20" s="112">
        <v>-2481</v>
      </c>
      <c r="E20" s="112">
        <v>-1317</v>
      </c>
      <c r="F20" s="112">
        <v>-1164</v>
      </c>
      <c r="G20" s="113"/>
    </row>
    <row r="21" spans="1:7" ht="15.6" customHeight="1">
      <c r="B21" s="114"/>
      <c r="C21" s="114" t="s">
        <v>8</v>
      </c>
      <c r="D21" s="115">
        <v>3799</v>
      </c>
      <c r="E21" s="115">
        <v>397</v>
      </c>
      <c r="F21" s="115">
        <v>3402</v>
      </c>
      <c r="G21" s="116"/>
    </row>
    <row r="22" spans="1:7" ht="15.6" customHeight="1">
      <c r="B22" s="114"/>
      <c r="C22" s="114" t="s">
        <v>9</v>
      </c>
      <c r="D22" s="115">
        <v>4481</v>
      </c>
      <c r="E22" s="115">
        <v>4107</v>
      </c>
      <c r="F22" s="115">
        <v>374</v>
      </c>
      <c r="G22" s="116"/>
    </row>
    <row r="23" spans="1:7" ht="15.6" customHeight="1">
      <c r="B23" s="114"/>
      <c r="C23" s="114" t="s">
        <v>26</v>
      </c>
      <c r="D23" s="115">
        <v>10</v>
      </c>
      <c r="E23" s="115">
        <v>0</v>
      </c>
      <c r="F23" s="115">
        <v>10</v>
      </c>
      <c r="G23" s="116"/>
    </row>
    <row r="24" spans="1:7" ht="15.6" customHeight="1">
      <c r="B24" s="107"/>
      <c r="C24" s="107" t="s">
        <v>10</v>
      </c>
      <c r="D24" s="108">
        <v>11</v>
      </c>
      <c r="E24" s="109">
        <v>4</v>
      </c>
      <c r="F24" s="109">
        <v>7</v>
      </c>
      <c r="G24" s="110"/>
    </row>
    <row r="25" spans="1:7" ht="15.6" customHeight="1">
      <c r="A25" s="13"/>
      <c r="B25" s="117"/>
      <c r="C25" s="117" t="s">
        <v>111</v>
      </c>
      <c r="D25" s="98">
        <v>1</v>
      </c>
      <c r="E25" s="98">
        <v>0</v>
      </c>
      <c r="F25" s="98">
        <v>1</v>
      </c>
      <c r="G25" s="99"/>
    </row>
    <row r="26" spans="1:7" ht="15.6" customHeight="1">
      <c r="A26" s="13"/>
      <c r="B26" s="117"/>
      <c r="C26" s="117" t="s">
        <v>112</v>
      </c>
      <c r="D26" s="98">
        <v>4</v>
      </c>
      <c r="E26" s="98">
        <v>2</v>
      </c>
      <c r="F26" s="98">
        <v>2</v>
      </c>
      <c r="G26" s="99"/>
    </row>
    <row r="27" spans="1:7" ht="15.6" customHeight="1">
      <c r="A27" s="13"/>
      <c r="B27" s="118"/>
      <c r="C27" s="118" t="s">
        <v>113</v>
      </c>
      <c r="D27" s="98">
        <v>6</v>
      </c>
      <c r="E27" s="98">
        <v>2</v>
      </c>
      <c r="F27" s="98">
        <v>4</v>
      </c>
      <c r="G27" s="106"/>
    </row>
    <row r="28" spans="1:7" ht="15.6" customHeight="1">
      <c r="B28" s="107"/>
      <c r="C28" s="107" t="s">
        <v>167</v>
      </c>
      <c r="D28" s="108">
        <v>778</v>
      </c>
      <c r="E28" s="109">
        <v>198</v>
      </c>
      <c r="F28" s="109">
        <v>580</v>
      </c>
      <c r="G28" s="110"/>
    </row>
    <row r="29" spans="1:7" ht="15.6" customHeight="1">
      <c r="B29" s="117"/>
      <c r="C29" s="117" t="s">
        <v>11</v>
      </c>
      <c r="D29" s="98">
        <v>418</v>
      </c>
      <c r="E29" s="98">
        <v>0</v>
      </c>
      <c r="F29" s="98">
        <v>418</v>
      </c>
      <c r="G29" s="99"/>
    </row>
    <row r="30" spans="1:7" ht="15.6" customHeight="1">
      <c r="B30" s="119"/>
      <c r="C30" s="119" t="s">
        <v>12</v>
      </c>
      <c r="D30" s="98">
        <v>360</v>
      </c>
      <c r="E30" s="98">
        <v>198</v>
      </c>
      <c r="F30" s="98">
        <v>162</v>
      </c>
      <c r="G30" s="106"/>
    </row>
    <row r="31" spans="1:7" ht="15.6" customHeight="1">
      <c r="B31" s="120"/>
      <c r="C31" s="120" t="s">
        <v>30</v>
      </c>
      <c r="D31" s="115">
        <v>1</v>
      </c>
      <c r="E31" s="115">
        <v>0</v>
      </c>
      <c r="F31" s="115">
        <v>1</v>
      </c>
      <c r="G31" s="116"/>
    </row>
    <row r="32" spans="1:7" ht="15.6" customHeight="1">
      <c r="B32" s="120"/>
      <c r="C32" s="120" t="s">
        <v>13</v>
      </c>
      <c r="D32" s="115">
        <v>6</v>
      </c>
      <c r="E32" s="115">
        <v>0</v>
      </c>
      <c r="F32" s="115">
        <v>6</v>
      </c>
      <c r="G32" s="116"/>
    </row>
    <row r="33" spans="1:8" ht="15.6" customHeight="1">
      <c r="A33" s="13"/>
      <c r="B33" s="107"/>
      <c r="C33" s="107" t="s">
        <v>14</v>
      </c>
      <c r="D33" s="108">
        <v>123</v>
      </c>
      <c r="E33" s="109">
        <v>88</v>
      </c>
      <c r="F33" s="109">
        <v>35</v>
      </c>
      <c r="G33" s="110"/>
    </row>
    <row r="34" spans="1:8" ht="15.6" customHeight="1">
      <c r="B34" s="117"/>
      <c r="C34" s="117" t="s">
        <v>32</v>
      </c>
      <c r="D34" s="98">
        <v>12</v>
      </c>
      <c r="E34" s="98">
        <v>0</v>
      </c>
      <c r="F34" s="98">
        <v>12</v>
      </c>
      <c r="G34" s="99"/>
    </row>
    <row r="35" spans="1:8" ht="15.6" customHeight="1">
      <c r="B35" s="117"/>
      <c r="C35" s="117" t="s">
        <v>33</v>
      </c>
      <c r="D35" s="98">
        <v>58</v>
      </c>
      <c r="E35" s="98">
        <v>52</v>
      </c>
      <c r="F35" s="98">
        <v>6</v>
      </c>
      <c r="G35" s="99"/>
    </row>
    <row r="36" spans="1:8" ht="15.6" customHeight="1">
      <c r="B36" s="117"/>
      <c r="C36" s="117" t="s">
        <v>34</v>
      </c>
      <c r="D36" s="98">
        <v>15</v>
      </c>
      <c r="E36" s="98">
        <v>0</v>
      </c>
      <c r="F36" s="98">
        <v>15</v>
      </c>
      <c r="G36" s="99"/>
    </row>
    <row r="37" spans="1:8" ht="15.6" customHeight="1">
      <c r="B37" s="118"/>
      <c r="C37" s="118" t="s">
        <v>35</v>
      </c>
      <c r="D37" s="98">
        <v>38</v>
      </c>
      <c r="E37" s="98">
        <v>36</v>
      </c>
      <c r="F37" s="98">
        <v>2</v>
      </c>
      <c r="G37" s="106"/>
    </row>
    <row r="38" spans="1:8" ht="15.6" customHeight="1">
      <c r="A38" s="13"/>
      <c r="B38" s="107"/>
      <c r="C38" s="107" t="s">
        <v>114</v>
      </c>
      <c r="D38" s="108">
        <v>398</v>
      </c>
      <c r="E38" s="109">
        <v>279</v>
      </c>
      <c r="F38" s="109">
        <v>119</v>
      </c>
      <c r="G38" s="110"/>
    </row>
    <row r="39" spans="1:8" ht="15.6" customHeight="1">
      <c r="B39" s="121"/>
      <c r="C39" s="121" t="s">
        <v>115</v>
      </c>
      <c r="D39" s="122">
        <v>72</v>
      </c>
      <c r="E39" s="122">
        <v>0</v>
      </c>
      <c r="F39" s="122">
        <v>72</v>
      </c>
      <c r="G39" s="123"/>
    </row>
    <row r="40" spans="1:8" ht="15.6" customHeight="1">
      <c r="B40" s="117"/>
      <c r="C40" s="117" t="s">
        <v>49</v>
      </c>
      <c r="D40" s="98">
        <v>296</v>
      </c>
      <c r="E40" s="98">
        <v>263</v>
      </c>
      <c r="F40" s="98">
        <v>33</v>
      </c>
      <c r="G40" s="99"/>
    </row>
    <row r="41" spans="1:8" ht="15.6" customHeight="1">
      <c r="B41" s="117"/>
      <c r="C41" s="117" t="s">
        <v>116</v>
      </c>
      <c r="D41" s="98">
        <v>12</v>
      </c>
      <c r="E41" s="98">
        <v>0</v>
      </c>
      <c r="F41" s="98">
        <v>12</v>
      </c>
      <c r="G41" s="99"/>
    </row>
    <row r="42" spans="1:8" ht="15.6" customHeight="1">
      <c r="B42" s="118"/>
      <c r="C42" s="118" t="s">
        <v>51</v>
      </c>
      <c r="D42" s="98">
        <v>18</v>
      </c>
      <c r="E42" s="98">
        <v>16</v>
      </c>
      <c r="F42" s="98">
        <v>2</v>
      </c>
      <c r="G42" s="106"/>
    </row>
    <row r="43" spans="1:8" ht="15.6" customHeight="1">
      <c r="B43" s="107"/>
      <c r="C43" s="107" t="s">
        <v>15</v>
      </c>
      <c r="D43" s="108">
        <v>7243</v>
      </c>
      <c r="E43" s="109">
        <v>7243</v>
      </c>
      <c r="F43" s="109">
        <v>0</v>
      </c>
      <c r="G43" s="110"/>
      <c r="H43" s="30"/>
    </row>
    <row r="44" spans="1:8" ht="15.6" customHeight="1">
      <c r="B44" s="117"/>
      <c r="C44" s="117" t="s">
        <v>153</v>
      </c>
      <c r="D44" s="98">
        <v>1072</v>
      </c>
      <c r="E44" s="98">
        <v>1072</v>
      </c>
      <c r="F44" s="98">
        <v>0</v>
      </c>
      <c r="G44" s="99"/>
    </row>
    <row r="45" spans="1:8" ht="15.6" customHeight="1">
      <c r="B45" s="117"/>
      <c r="C45" s="117" t="s">
        <v>37</v>
      </c>
      <c r="D45" s="98">
        <v>6136</v>
      </c>
      <c r="E45" s="98">
        <v>6136</v>
      </c>
      <c r="F45" s="98">
        <v>0</v>
      </c>
      <c r="G45" s="99"/>
    </row>
    <row r="46" spans="1:8" ht="15.6" customHeight="1">
      <c r="B46" s="118"/>
      <c r="C46" s="118" t="s">
        <v>155</v>
      </c>
      <c r="D46" s="98">
        <v>35</v>
      </c>
      <c r="E46" s="98">
        <v>35</v>
      </c>
      <c r="F46" s="98">
        <v>0</v>
      </c>
      <c r="G46" s="106"/>
    </row>
    <row r="47" spans="1:8" ht="15.6" customHeight="1">
      <c r="A47" s="13"/>
      <c r="B47" s="114"/>
      <c r="C47" s="114" t="s">
        <v>52</v>
      </c>
      <c r="D47" s="115">
        <v>1588</v>
      </c>
      <c r="E47" s="115">
        <v>1588</v>
      </c>
      <c r="F47" s="115">
        <v>0</v>
      </c>
      <c r="G47" s="116"/>
    </row>
    <row r="48" spans="1:8" ht="15.6" customHeight="1">
      <c r="A48" s="13"/>
      <c r="B48" s="114"/>
      <c r="C48" s="114" t="s">
        <v>117</v>
      </c>
      <c r="D48" s="115">
        <v>1</v>
      </c>
      <c r="E48" s="115">
        <v>1</v>
      </c>
      <c r="F48" s="115">
        <v>0</v>
      </c>
      <c r="G48" s="116"/>
    </row>
    <row r="49" spans="1:7" ht="15.6" customHeight="1">
      <c r="A49" s="13"/>
      <c r="B49" s="107"/>
      <c r="C49" s="107" t="s">
        <v>16</v>
      </c>
      <c r="D49" s="108">
        <v>47</v>
      </c>
      <c r="E49" s="109">
        <v>42</v>
      </c>
      <c r="F49" s="109">
        <v>5</v>
      </c>
      <c r="G49" s="110"/>
    </row>
    <row r="50" spans="1:7" ht="15.6" customHeight="1">
      <c r="B50" s="97"/>
      <c r="C50" s="97" t="s">
        <v>158</v>
      </c>
      <c r="D50" s="98">
        <v>0</v>
      </c>
      <c r="E50" s="98">
        <v>0</v>
      </c>
      <c r="F50" s="98">
        <v>0</v>
      </c>
      <c r="G50" s="99"/>
    </row>
    <row r="51" spans="1:7" ht="15.6" customHeight="1">
      <c r="B51" s="97"/>
      <c r="C51" s="97" t="s">
        <v>118</v>
      </c>
      <c r="D51" s="98">
        <v>13</v>
      </c>
      <c r="E51" s="98">
        <v>10</v>
      </c>
      <c r="F51" s="98">
        <v>3</v>
      </c>
      <c r="G51" s="99"/>
    </row>
    <row r="52" spans="1:7" ht="15.6" customHeight="1">
      <c r="B52" s="105"/>
      <c r="C52" s="105" t="s">
        <v>142</v>
      </c>
      <c r="D52" s="98">
        <v>34</v>
      </c>
      <c r="E52" s="98">
        <v>32</v>
      </c>
      <c r="F52" s="98">
        <v>2</v>
      </c>
      <c r="G52" s="106"/>
    </row>
    <row r="53" spans="1:7" ht="15.6" customHeight="1">
      <c r="A53" s="13"/>
      <c r="B53" s="107"/>
      <c r="C53" s="107" t="s">
        <v>17</v>
      </c>
      <c r="D53" s="108">
        <v>368</v>
      </c>
      <c r="E53" s="109">
        <v>226</v>
      </c>
      <c r="F53" s="109">
        <v>142</v>
      </c>
      <c r="G53" s="110"/>
    </row>
    <row r="54" spans="1:7" ht="15.6" customHeight="1">
      <c r="B54" s="97"/>
      <c r="C54" s="97" t="s">
        <v>160</v>
      </c>
      <c r="D54" s="98">
        <v>1</v>
      </c>
      <c r="E54" s="98">
        <v>0</v>
      </c>
      <c r="F54" s="98">
        <v>1</v>
      </c>
      <c r="G54" s="99"/>
    </row>
    <row r="55" spans="1:7" ht="15.6" customHeight="1">
      <c r="B55" s="97"/>
      <c r="C55" s="97" t="s">
        <v>39</v>
      </c>
      <c r="D55" s="98">
        <v>72</v>
      </c>
      <c r="E55" s="98">
        <v>59</v>
      </c>
      <c r="F55" s="98">
        <v>13</v>
      </c>
      <c r="G55" s="99"/>
    </row>
    <row r="56" spans="1:7" ht="15.6" customHeight="1">
      <c r="B56" s="105"/>
      <c r="C56" s="105" t="s">
        <v>40</v>
      </c>
      <c r="D56" s="98">
        <v>295</v>
      </c>
      <c r="E56" s="98">
        <v>167</v>
      </c>
      <c r="F56" s="98">
        <v>128</v>
      </c>
      <c r="G56" s="106"/>
    </row>
    <row r="57" spans="1:7" ht="15.6" customHeight="1" thickBot="1">
      <c r="B57" s="124"/>
      <c r="C57" s="124" t="s">
        <v>119</v>
      </c>
      <c r="D57" s="125">
        <v>9575</v>
      </c>
      <c r="E57" s="125">
        <v>9575</v>
      </c>
      <c r="F57" s="125">
        <v>0</v>
      </c>
      <c r="G57" s="126"/>
    </row>
    <row r="58" spans="1:7" s="13" customFormat="1" ht="3" customHeight="1">
      <c r="B58" s="127"/>
      <c r="C58" s="97"/>
      <c r="D58" s="128"/>
      <c r="E58" s="128"/>
      <c r="F58" s="128"/>
      <c r="G58" s="129"/>
    </row>
    <row r="59" spans="1:7" s="5" customFormat="1" ht="11.25" customHeight="1">
      <c r="B59" s="130" t="s">
        <v>100</v>
      </c>
      <c r="C59" s="131"/>
      <c r="D59" s="132"/>
      <c r="E59" s="132"/>
      <c r="F59" s="133"/>
      <c r="G59" s="80"/>
    </row>
    <row r="60" spans="1:7" s="4" customFormat="1" ht="11.25">
      <c r="B60" s="134" t="s">
        <v>101</v>
      </c>
      <c r="C60" s="135"/>
      <c r="D60" s="136"/>
      <c r="E60" s="136"/>
      <c r="F60" s="137"/>
      <c r="G60" s="138"/>
    </row>
    <row r="61" spans="1:7" s="4" customFormat="1" ht="11.25" customHeight="1">
      <c r="B61" s="134" t="s">
        <v>102</v>
      </c>
      <c r="C61" s="139"/>
      <c r="D61" s="136"/>
      <c r="E61" s="132"/>
      <c r="F61" s="140"/>
      <c r="G61" s="79"/>
    </row>
    <row r="62" spans="1:7" s="4" customFormat="1" ht="14.1" customHeight="1">
      <c r="B62" s="134" t="s">
        <v>103</v>
      </c>
      <c r="C62" s="139"/>
      <c r="D62" s="136"/>
      <c r="E62" s="132"/>
      <c r="F62" s="140"/>
      <c r="G62" s="79"/>
    </row>
    <row r="63" spans="1:7" s="4" customFormat="1" ht="14.1" customHeight="1">
      <c r="B63" s="134" t="s">
        <v>104</v>
      </c>
      <c r="C63" s="139"/>
      <c r="D63" s="136"/>
      <c r="E63" s="132"/>
      <c r="F63" s="140"/>
      <c r="G63" s="79"/>
    </row>
    <row r="64" spans="1:7" s="17" customFormat="1" ht="17.100000000000001" customHeight="1">
      <c r="A64" s="4"/>
      <c r="B64" s="3"/>
      <c r="C64" s="16"/>
      <c r="D64" s="15"/>
      <c r="E64" s="14"/>
      <c r="F64" s="15"/>
      <c r="G64" s="4"/>
    </row>
    <row r="65" spans="4:6" ht="17.100000000000001" customHeight="1">
      <c r="D65" s="18"/>
      <c r="E65" s="19"/>
      <c r="F65" s="18"/>
    </row>
    <row r="66" spans="4:6" ht="17.100000000000001" customHeight="1">
      <c r="D66" s="18"/>
      <c r="E66" s="19"/>
      <c r="F66" s="18"/>
    </row>
  </sheetData>
  <mergeCells count="2">
    <mergeCell ref="B1:G1"/>
    <mergeCell ref="B2:G2"/>
  </mergeCells>
  <phoneticPr fontId="17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75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66"/>
  <sheetViews>
    <sheetView showGridLines="0" zoomScale="85" zoomScaleNormal="85" workbookViewId="0">
      <selection activeCell="D10" sqref="D10"/>
    </sheetView>
  </sheetViews>
  <sheetFormatPr defaultColWidth="1.7109375" defaultRowHeight="17.100000000000001" customHeight="1"/>
  <cols>
    <col min="1" max="1" width="2.28515625" style="10" customWidth="1"/>
    <col min="2" max="2" width="2.28515625" style="20" customWidth="1"/>
    <col min="3" max="3" width="29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2.28515625" style="10" customWidth="1"/>
    <col min="8" max="255" width="9.140625" style="9" customWidth="1"/>
    <col min="256" max="16384" width="1.7109375" style="9"/>
  </cols>
  <sheetData>
    <row r="1" spans="2:7" s="1" customFormat="1" ht="21.95" customHeight="1">
      <c r="B1" s="249" t="s">
        <v>105</v>
      </c>
      <c r="C1" s="249"/>
      <c r="D1" s="249"/>
      <c r="E1" s="249"/>
      <c r="F1" s="249"/>
      <c r="G1" s="249"/>
    </row>
    <row r="2" spans="2:7" s="2" customFormat="1" ht="15" customHeight="1">
      <c r="B2" s="250" t="s">
        <v>188</v>
      </c>
      <c r="C2" s="250"/>
      <c r="D2" s="250"/>
      <c r="E2" s="250"/>
      <c r="F2" s="250"/>
      <c r="G2" s="250"/>
    </row>
    <row r="3" spans="2:7" s="4" customFormat="1" ht="11.1" customHeight="1" thickBot="1">
      <c r="B3" s="77"/>
      <c r="C3" s="78"/>
      <c r="D3" s="79"/>
      <c r="E3" s="80"/>
      <c r="F3" s="81" t="s">
        <v>54</v>
      </c>
      <c r="G3" s="81"/>
    </row>
    <row r="4" spans="2:7" s="6" customFormat="1" ht="15.6" customHeight="1">
      <c r="B4" s="82"/>
      <c r="C4" s="83" t="s">
        <v>95</v>
      </c>
      <c r="D4" s="84" t="s">
        <v>55</v>
      </c>
      <c r="E4" s="84" t="s">
        <v>56</v>
      </c>
      <c r="F4" s="84" t="s">
        <v>57</v>
      </c>
      <c r="G4" s="85"/>
    </row>
    <row r="5" spans="2:7" s="7" customFormat="1" ht="20.100000000000001" customHeight="1">
      <c r="B5" s="86"/>
      <c r="C5" s="87" t="s">
        <v>106</v>
      </c>
      <c r="D5" s="88">
        <f>SUM(D7,D11,D15,D21,D22,D23,D24,D28,D31,D32,D33,D38,D43,D47,D48,D49,D53,D57)</f>
        <v>26470</v>
      </c>
      <c r="E5" s="88">
        <f t="shared" ref="E5:F5" si="0">SUM(E7,E11,E15,E21,E22,E23,E24,E28,E31,E32,E33,E38,E43,E47,E48,E49,E53,E57)</f>
        <v>17101</v>
      </c>
      <c r="F5" s="88">
        <f t="shared" si="0"/>
        <v>9369</v>
      </c>
      <c r="G5" s="89"/>
    </row>
    <row r="6" spans="2:7" s="8" customFormat="1" ht="15" customHeight="1" thickBot="1">
      <c r="B6" s="90"/>
      <c r="C6" s="91" t="s">
        <v>107</v>
      </c>
      <c r="D6" s="92">
        <v>-1738</v>
      </c>
      <c r="E6" s="92">
        <v>-863</v>
      </c>
      <c r="F6" s="92">
        <v>-875</v>
      </c>
      <c r="G6" s="93"/>
    </row>
    <row r="7" spans="2:7" ht="15.6" customHeight="1" thickTop="1">
      <c r="B7" s="94"/>
      <c r="C7" s="94" t="s">
        <v>108</v>
      </c>
      <c r="D7" s="231">
        <v>22</v>
      </c>
      <c r="E7" s="231">
        <v>0</v>
      </c>
      <c r="F7" s="231">
        <v>22</v>
      </c>
      <c r="G7" s="96"/>
    </row>
    <row r="8" spans="2:7" ht="15.6" customHeight="1">
      <c r="B8" s="97"/>
      <c r="C8" s="97" t="s">
        <v>0</v>
      </c>
      <c r="D8" s="232">
        <v>18</v>
      </c>
      <c r="E8" s="232">
        <v>0</v>
      </c>
      <c r="F8" s="232">
        <v>18</v>
      </c>
      <c r="G8" s="99"/>
    </row>
    <row r="9" spans="2:7" ht="15.6" customHeight="1">
      <c r="B9" s="97"/>
      <c r="C9" s="97" t="s">
        <v>1</v>
      </c>
      <c r="D9" s="232">
        <v>0</v>
      </c>
      <c r="E9" s="232">
        <v>0</v>
      </c>
      <c r="F9" s="232">
        <v>0</v>
      </c>
      <c r="G9" s="99"/>
    </row>
    <row r="10" spans="2:7" ht="15.6" customHeight="1">
      <c r="B10" s="97"/>
      <c r="C10" s="97" t="s">
        <v>2</v>
      </c>
      <c r="D10" s="232">
        <v>4</v>
      </c>
      <c r="E10" s="232">
        <v>0</v>
      </c>
      <c r="F10" s="232">
        <v>4</v>
      </c>
      <c r="G10" s="100"/>
    </row>
    <row r="11" spans="2:7" ht="15.6" customHeight="1">
      <c r="B11" s="101"/>
      <c r="C11" s="101" t="s">
        <v>3</v>
      </c>
      <c r="D11" s="245">
        <v>192</v>
      </c>
      <c r="E11" s="234">
        <v>0</v>
      </c>
      <c r="F11" s="234">
        <v>192</v>
      </c>
      <c r="G11" s="104"/>
    </row>
    <row r="12" spans="2:7" ht="15.6" customHeight="1">
      <c r="B12" s="97"/>
      <c r="C12" s="97" t="s">
        <v>0</v>
      </c>
      <c r="D12" s="232">
        <v>101</v>
      </c>
      <c r="E12" s="232">
        <v>0</v>
      </c>
      <c r="F12" s="232">
        <v>101</v>
      </c>
      <c r="G12" s="99"/>
    </row>
    <row r="13" spans="2:7" ht="15.6" customHeight="1">
      <c r="B13" s="97"/>
      <c r="C13" s="97" t="s">
        <v>1</v>
      </c>
      <c r="D13" s="232">
        <v>18</v>
      </c>
      <c r="E13" s="232">
        <v>0</v>
      </c>
      <c r="F13" s="232">
        <v>18</v>
      </c>
      <c r="G13" s="99"/>
    </row>
    <row r="14" spans="2:7" ht="15.6" customHeight="1">
      <c r="B14" s="105"/>
      <c r="C14" s="105" t="s">
        <v>2</v>
      </c>
      <c r="D14" s="232">
        <v>73</v>
      </c>
      <c r="E14" s="232">
        <v>0</v>
      </c>
      <c r="F14" s="232">
        <v>73</v>
      </c>
      <c r="G14" s="106"/>
    </row>
    <row r="15" spans="2:7" ht="15.6" customHeight="1">
      <c r="B15" s="107"/>
      <c r="C15" s="107" t="s">
        <v>109</v>
      </c>
      <c r="D15" s="237">
        <v>8748</v>
      </c>
      <c r="E15" s="238">
        <v>2915</v>
      </c>
      <c r="F15" s="238">
        <v>5833</v>
      </c>
      <c r="G15" s="110"/>
    </row>
    <row r="16" spans="2:7" ht="15.6" customHeight="1">
      <c r="B16" s="97"/>
      <c r="C16" s="97" t="s">
        <v>4</v>
      </c>
      <c r="D16" s="236">
        <v>1090</v>
      </c>
      <c r="E16" s="232">
        <v>0</v>
      </c>
      <c r="F16" s="236">
        <v>1090</v>
      </c>
      <c r="G16" s="99"/>
    </row>
    <row r="17" spans="1:7" ht="15.6" customHeight="1">
      <c r="B17" s="97"/>
      <c r="C17" s="97" t="s">
        <v>5</v>
      </c>
      <c r="D17" s="236">
        <v>5051</v>
      </c>
      <c r="E17" s="236">
        <v>1500</v>
      </c>
      <c r="F17" s="236">
        <v>3551</v>
      </c>
      <c r="G17" s="99"/>
    </row>
    <row r="18" spans="1:7" ht="15.6" customHeight="1">
      <c r="B18" s="97"/>
      <c r="C18" s="97" t="s">
        <v>6</v>
      </c>
      <c r="D18" s="232">
        <v>520</v>
      </c>
      <c r="E18" s="232">
        <v>0</v>
      </c>
      <c r="F18" s="232">
        <v>520</v>
      </c>
      <c r="G18" s="99"/>
    </row>
    <row r="19" spans="1:7" ht="15.6" customHeight="1">
      <c r="B19" s="97"/>
      <c r="C19" s="97" t="s">
        <v>7</v>
      </c>
      <c r="D19" s="236">
        <v>2087</v>
      </c>
      <c r="E19" s="236">
        <v>1415</v>
      </c>
      <c r="F19" s="232">
        <v>672</v>
      </c>
      <c r="G19" s="99"/>
    </row>
    <row r="20" spans="1:7" s="12" customFormat="1" ht="12">
      <c r="A20" s="11"/>
      <c r="B20" s="111"/>
      <c r="C20" s="111" t="s">
        <v>110</v>
      </c>
      <c r="D20" s="198">
        <v>-1738</v>
      </c>
      <c r="E20" s="198">
        <v>-863</v>
      </c>
      <c r="F20" s="198">
        <v>-875</v>
      </c>
      <c r="G20" s="113"/>
    </row>
    <row r="21" spans="1:7" ht="15.6" customHeight="1">
      <c r="B21" s="114"/>
      <c r="C21" s="114" t="s">
        <v>8</v>
      </c>
      <c r="D21" s="239">
        <v>2846</v>
      </c>
      <c r="E21" s="240">
        <v>284</v>
      </c>
      <c r="F21" s="239">
        <v>2562</v>
      </c>
      <c r="G21" s="116"/>
    </row>
    <row r="22" spans="1:7" ht="15.6" customHeight="1">
      <c r="B22" s="114"/>
      <c r="C22" s="114" t="s">
        <v>9</v>
      </c>
      <c r="D22" s="239">
        <v>1964</v>
      </c>
      <c r="E22" s="239">
        <v>1813</v>
      </c>
      <c r="F22" s="240">
        <v>151</v>
      </c>
      <c r="G22" s="116"/>
    </row>
    <row r="23" spans="1:7" ht="15.6" customHeight="1">
      <c r="B23" s="114"/>
      <c r="C23" s="114" t="s">
        <v>26</v>
      </c>
      <c r="D23" s="240">
        <v>2</v>
      </c>
      <c r="E23" s="240">
        <v>0</v>
      </c>
      <c r="F23" s="240">
        <v>2</v>
      </c>
      <c r="G23" s="116"/>
    </row>
    <row r="24" spans="1:7" ht="15.6" customHeight="1">
      <c r="B24" s="107"/>
      <c r="C24" s="107" t="s">
        <v>10</v>
      </c>
      <c r="D24" s="241">
        <v>13</v>
      </c>
      <c r="E24" s="242">
        <v>6</v>
      </c>
      <c r="F24" s="242">
        <v>7</v>
      </c>
      <c r="G24" s="110"/>
    </row>
    <row r="25" spans="1:7" ht="15.6" customHeight="1">
      <c r="A25" s="13"/>
      <c r="B25" s="117"/>
      <c r="C25" s="117" t="s">
        <v>111</v>
      </c>
      <c r="D25" s="232">
        <v>0</v>
      </c>
      <c r="E25" s="232">
        <v>0</v>
      </c>
      <c r="F25" s="232">
        <v>0</v>
      </c>
      <c r="G25" s="99"/>
    </row>
    <row r="26" spans="1:7" ht="15.6" customHeight="1">
      <c r="A26" s="13"/>
      <c r="B26" s="117"/>
      <c r="C26" s="117" t="s">
        <v>112</v>
      </c>
      <c r="D26" s="232">
        <v>2</v>
      </c>
      <c r="E26" s="232">
        <v>1</v>
      </c>
      <c r="F26" s="232">
        <v>1</v>
      </c>
      <c r="G26" s="99"/>
    </row>
    <row r="27" spans="1:7" ht="15.6" customHeight="1">
      <c r="A27" s="13"/>
      <c r="B27" s="118"/>
      <c r="C27" s="118" t="s">
        <v>113</v>
      </c>
      <c r="D27" s="232">
        <v>11</v>
      </c>
      <c r="E27" s="232">
        <v>5</v>
      </c>
      <c r="F27" s="232">
        <v>6</v>
      </c>
      <c r="G27" s="106"/>
    </row>
    <row r="28" spans="1:7" ht="15.6" customHeight="1">
      <c r="B28" s="107"/>
      <c r="C28" s="107" t="s">
        <v>167</v>
      </c>
      <c r="D28" s="241">
        <v>605</v>
      </c>
      <c r="E28" s="242">
        <v>156</v>
      </c>
      <c r="F28" s="242">
        <v>449</v>
      </c>
      <c r="G28" s="110"/>
    </row>
    <row r="29" spans="1:7" ht="15.6" customHeight="1">
      <c r="B29" s="117"/>
      <c r="C29" s="117" t="s">
        <v>11</v>
      </c>
      <c r="D29" s="232">
        <v>345</v>
      </c>
      <c r="E29" s="232">
        <v>0</v>
      </c>
      <c r="F29" s="232">
        <v>345</v>
      </c>
      <c r="G29" s="99"/>
    </row>
    <row r="30" spans="1:7" ht="15.6" customHeight="1">
      <c r="B30" s="119"/>
      <c r="C30" s="119" t="s">
        <v>12</v>
      </c>
      <c r="D30" s="232">
        <v>260</v>
      </c>
      <c r="E30" s="232">
        <v>156</v>
      </c>
      <c r="F30" s="232">
        <v>104</v>
      </c>
      <c r="G30" s="106"/>
    </row>
    <row r="31" spans="1:7" ht="15.6" customHeight="1">
      <c r="B31" s="120"/>
      <c r="C31" s="120" t="s">
        <v>30</v>
      </c>
      <c r="D31" s="240">
        <v>0</v>
      </c>
      <c r="E31" s="240">
        <v>0</v>
      </c>
      <c r="F31" s="240">
        <v>0</v>
      </c>
      <c r="G31" s="116"/>
    </row>
    <row r="32" spans="1:7" ht="15.6" customHeight="1">
      <c r="B32" s="120"/>
      <c r="C32" s="120" t="s">
        <v>13</v>
      </c>
      <c r="D32" s="240">
        <v>10</v>
      </c>
      <c r="E32" s="240">
        <v>0</v>
      </c>
      <c r="F32" s="240">
        <v>10</v>
      </c>
      <c r="G32" s="116"/>
    </row>
    <row r="33" spans="1:7" ht="15.6" customHeight="1">
      <c r="A33" s="13"/>
      <c r="B33" s="107"/>
      <c r="C33" s="107" t="s">
        <v>14</v>
      </c>
      <c r="D33" s="241">
        <v>113</v>
      </c>
      <c r="E33" s="242">
        <v>81</v>
      </c>
      <c r="F33" s="242">
        <v>32</v>
      </c>
      <c r="G33" s="110"/>
    </row>
    <row r="34" spans="1:7" ht="15.6" customHeight="1">
      <c r="B34" s="117"/>
      <c r="C34" s="117" t="s">
        <v>32</v>
      </c>
      <c r="D34" s="232">
        <v>6</v>
      </c>
      <c r="E34" s="232">
        <v>0</v>
      </c>
      <c r="F34" s="232">
        <v>6</v>
      </c>
      <c r="G34" s="99"/>
    </row>
    <row r="35" spans="1:7" ht="15.6" customHeight="1">
      <c r="B35" s="117"/>
      <c r="C35" s="117" t="s">
        <v>33</v>
      </c>
      <c r="D35" s="232">
        <v>58</v>
      </c>
      <c r="E35" s="232">
        <v>53</v>
      </c>
      <c r="F35" s="232">
        <v>5</v>
      </c>
      <c r="G35" s="99"/>
    </row>
    <row r="36" spans="1:7" ht="15.6" customHeight="1">
      <c r="B36" s="117"/>
      <c r="C36" s="117" t="s">
        <v>34</v>
      </c>
      <c r="D36" s="232">
        <v>11</v>
      </c>
      <c r="E36" s="232">
        <v>0</v>
      </c>
      <c r="F36" s="232">
        <v>11</v>
      </c>
      <c r="G36" s="99"/>
    </row>
    <row r="37" spans="1:7" ht="15.6" customHeight="1">
      <c r="B37" s="118"/>
      <c r="C37" s="118" t="s">
        <v>35</v>
      </c>
      <c r="D37" s="232">
        <v>38</v>
      </c>
      <c r="E37" s="232">
        <v>28</v>
      </c>
      <c r="F37" s="232">
        <v>10</v>
      </c>
      <c r="G37" s="106"/>
    </row>
    <row r="38" spans="1:7" ht="15.6" customHeight="1">
      <c r="A38" s="13"/>
      <c r="B38" s="107"/>
      <c r="C38" s="107" t="s">
        <v>114</v>
      </c>
      <c r="D38" s="241">
        <v>261</v>
      </c>
      <c r="E38" s="242">
        <v>186</v>
      </c>
      <c r="F38" s="242">
        <v>75</v>
      </c>
      <c r="G38" s="110"/>
    </row>
    <row r="39" spans="1:7" ht="15.6" customHeight="1">
      <c r="B39" s="121"/>
      <c r="C39" s="121" t="s">
        <v>115</v>
      </c>
      <c r="D39" s="232">
        <v>48</v>
      </c>
      <c r="E39" s="232">
        <v>0</v>
      </c>
      <c r="F39" s="232">
        <v>48</v>
      </c>
      <c r="G39" s="123"/>
    </row>
    <row r="40" spans="1:7" ht="15.6" customHeight="1">
      <c r="B40" s="117"/>
      <c r="C40" s="117" t="s">
        <v>49</v>
      </c>
      <c r="D40" s="232">
        <v>189</v>
      </c>
      <c r="E40" s="232">
        <v>175</v>
      </c>
      <c r="F40" s="232">
        <v>14</v>
      </c>
      <c r="G40" s="99"/>
    </row>
    <row r="41" spans="1:7" ht="15.6" customHeight="1">
      <c r="B41" s="117"/>
      <c r="C41" s="117" t="s">
        <v>116</v>
      </c>
      <c r="D41" s="232">
        <v>11</v>
      </c>
      <c r="E41" s="232">
        <v>0</v>
      </c>
      <c r="F41" s="232">
        <v>11</v>
      </c>
      <c r="G41" s="99"/>
    </row>
    <row r="42" spans="1:7" ht="15.6" customHeight="1">
      <c r="B42" s="118"/>
      <c r="C42" s="118" t="s">
        <v>51</v>
      </c>
      <c r="D42" s="232">
        <v>13</v>
      </c>
      <c r="E42" s="232">
        <v>11</v>
      </c>
      <c r="F42" s="232">
        <v>2</v>
      </c>
      <c r="G42" s="106"/>
    </row>
    <row r="43" spans="1:7" ht="15.6" customHeight="1">
      <c r="B43" s="107"/>
      <c r="C43" s="107" t="s">
        <v>15</v>
      </c>
      <c r="D43" s="237">
        <v>5283</v>
      </c>
      <c r="E43" s="238">
        <v>5283</v>
      </c>
      <c r="F43" s="242">
        <v>0</v>
      </c>
      <c r="G43" s="110"/>
    </row>
    <row r="44" spans="1:7" ht="15.6" customHeight="1">
      <c r="B44" s="117"/>
      <c r="C44" s="117" t="s">
        <v>153</v>
      </c>
      <c r="D44" s="236">
        <v>721</v>
      </c>
      <c r="E44" s="236">
        <v>721</v>
      </c>
      <c r="F44" s="232">
        <v>0</v>
      </c>
      <c r="G44" s="99"/>
    </row>
    <row r="45" spans="1:7" ht="15.6" customHeight="1">
      <c r="B45" s="117"/>
      <c r="C45" s="117" t="s">
        <v>37</v>
      </c>
      <c r="D45" s="236">
        <v>4556</v>
      </c>
      <c r="E45" s="236">
        <v>4556</v>
      </c>
      <c r="F45" s="232">
        <v>0</v>
      </c>
      <c r="G45" s="99"/>
    </row>
    <row r="46" spans="1:7" ht="15.6" customHeight="1">
      <c r="B46" s="118"/>
      <c r="C46" s="118" t="s">
        <v>155</v>
      </c>
      <c r="D46" s="232">
        <v>6</v>
      </c>
      <c r="E46" s="232">
        <v>6</v>
      </c>
      <c r="F46" s="232">
        <v>0</v>
      </c>
      <c r="G46" s="106"/>
    </row>
    <row r="47" spans="1:7" ht="15.6" customHeight="1">
      <c r="A47" s="13"/>
      <c r="B47" s="114"/>
      <c r="C47" s="114" t="s">
        <v>52</v>
      </c>
      <c r="D47" s="239">
        <v>1383</v>
      </c>
      <c r="E47" s="239">
        <v>1383</v>
      </c>
      <c r="F47" s="240">
        <v>0</v>
      </c>
      <c r="G47" s="116"/>
    </row>
    <row r="48" spans="1:7" ht="15.6" customHeight="1">
      <c r="A48" s="13"/>
      <c r="B48" s="114"/>
      <c r="C48" s="114" t="s">
        <v>117</v>
      </c>
      <c r="D48" s="240">
        <v>2</v>
      </c>
      <c r="E48" s="240">
        <v>2</v>
      </c>
      <c r="F48" s="240">
        <v>0</v>
      </c>
      <c r="G48" s="116"/>
    </row>
    <row r="49" spans="1:7" ht="15.6" customHeight="1">
      <c r="A49" s="13"/>
      <c r="B49" s="107"/>
      <c r="C49" s="107" t="s">
        <v>16</v>
      </c>
      <c r="D49" s="241">
        <v>39</v>
      </c>
      <c r="E49" s="242">
        <v>30</v>
      </c>
      <c r="F49" s="242">
        <v>9</v>
      </c>
      <c r="G49" s="110"/>
    </row>
    <row r="50" spans="1:7" ht="15.6" customHeight="1">
      <c r="B50" s="97"/>
      <c r="C50" s="97" t="s">
        <v>158</v>
      </c>
      <c r="D50" s="232">
        <v>0</v>
      </c>
      <c r="E50" s="232">
        <v>0</v>
      </c>
      <c r="F50" s="232">
        <v>0</v>
      </c>
      <c r="G50" s="99"/>
    </row>
    <row r="51" spans="1:7" ht="15.6" customHeight="1">
      <c r="B51" s="97"/>
      <c r="C51" s="97" t="s">
        <v>118</v>
      </c>
      <c r="D51" s="232">
        <v>21</v>
      </c>
      <c r="E51" s="232">
        <v>15</v>
      </c>
      <c r="F51" s="232">
        <v>6</v>
      </c>
      <c r="G51" s="99"/>
    </row>
    <row r="52" spans="1:7" ht="15.6" customHeight="1">
      <c r="B52" s="105"/>
      <c r="C52" s="105" t="s">
        <v>142</v>
      </c>
      <c r="D52" s="232">
        <v>18</v>
      </c>
      <c r="E52" s="232">
        <v>15</v>
      </c>
      <c r="F52" s="232">
        <v>3</v>
      </c>
      <c r="G52" s="106"/>
    </row>
    <row r="53" spans="1:7" ht="15.6" customHeight="1">
      <c r="A53" s="13"/>
      <c r="B53" s="107"/>
      <c r="C53" s="107" t="s">
        <v>17</v>
      </c>
      <c r="D53" s="241">
        <v>76</v>
      </c>
      <c r="E53" s="242">
        <v>51</v>
      </c>
      <c r="F53" s="242">
        <v>25</v>
      </c>
      <c r="G53" s="110"/>
    </row>
    <row r="54" spans="1:7" ht="15.6" customHeight="1">
      <c r="B54" s="97"/>
      <c r="C54" s="97" t="s">
        <v>160</v>
      </c>
      <c r="D54" s="232">
        <v>0</v>
      </c>
      <c r="E54" s="232">
        <v>0</v>
      </c>
      <c r="F54" s="232">
        <v>0</v>
      </c>
      <c r="G54" s="99"/>
    </row>
    <row r="55" spans="1:7" ht="15.6" customHeight="1">
      <c r="B55" s="97"/>
      <c r="C55" s="97" t="s">
        <v>39</v>
      </c>
      <c r="D55" s="232">
        <v>29</v>
      </c>
      <c r="E55" s="232">
        <v>24</v>
      </c>
      <c r="F55" s="232">
        <v>5</v>
      </c>
      <c r="G55" s="99"/>
    </row>
    <row r="56" spans="1:7" ht="15.6" customHeight="1">
      <c r="B56" s="105"/>
      <c r="C56" s="105" t="s">
        <v>40</v>
      </c>
      <c r="D56" s="232">
        <v>47</v>
      </c>
      <c r="E56" s="232">
        <v>27</v>
      </c>
      <c r="F56" s="232">
        <v>20</v>
      </c>
      <c r="G56" s="106"/>
    </row>
    <row r="57" spans="1:7" ht="15.6" customHeight="1" thickBot="1">
      <c r="B57" s="124"/>
      <c r="C57" s="124" t="s">
        <v>119</v>
      </c>
      <c r="D57" s="243">
        <v>4911</v>
      </c>
      <c r="E57" s="243">
        <v>4911</v>
      </c>
      <c r="F57" s="244">
        <v>0</v>
      </c>
      <c r="G57" s="126"/>
    </row>
    <row r="58" spans="1:7" s="13" customFormat="1" ht="3" customHeight="1">
      <c r="B58" s="127"/>
      <c r="C58" s="97"/>
      <c r="D58" s="128"/>
      <c r="E58" s="128"/>
      <c r="F58" s="128"/>
      <c r="G58" s="129"/>
    </row>
    <row r="59" spans="1:7" s="5" customFormat="1" ht="11.25" customHeight="1">
      <c r="B59" s="130" t="s">
        <v>100</v>
      </c>
      <c r="C59" s="131"/>
      <c r="D59" s="132"/>
      <c r="E59" s="132"/>
      <c r="F59" s="133"/>
      <c r="G59" s="80"/>
    </row>
    <row r="60" spans="1:7" s="4" customFormat="1" ht="11.25">
      <c r="B60" s="134" t="s">
        <v>101</v>
      </c>
      <c r="C60" s="135"/>
      <c r="D60" s="136"/>
      <c r="E60" s="136"/>
      <c r="F60" s="137"/>
      <c r="G60" s="138"/>
    </row>
    <row r="61" spans="1:7" s="4" customFormat="1" ht="11.25" customHeight="1">
      <c r="B61" s="134" t="s">
        <v>102</v>
      </c>
      <c r="C61" s="139"/>
      <c r="D61" s="136"/>
      <c r="E61" s="132"/>
      <c r="F61" s="140"/>
      <c r="G61" s="79"/>
    </row>
    <row r="62" spans="1:7" s="4" customFormat="1" ht="14.1" customHeight="1">
      <c r="B62" s="134" t="s">
        <v>103</v>
      </c>
      <c r="C62" s="139"/>
      <c r="D62" s="136"/>
      <c r="E62" s="132"/>
      <c r="F62" s="140"/>
      <c r="G62" s="79"/>
    </row>
    <row r="63" spans="1:7" s="4" customFormat="1" ht="14.1" customHeight="1">
      <c r="B63" s="134" t="s">
        <v>104</v>
      </c>
      <c r="C63" s="139"/>
      <c r="D63" s="136"/>
      <c r="E63" s="132"/>
      <c r="F63" s="140"/>
      <c r="G63" s="79"/>
    </row>
    <row r="64" spans="1:7" s="17" customFormat="1" ht="17.100000000000001" customHeight="1">
      <c r="A64" s="4"/>
      <c r="B64" s="3"/>
      <c r="C64" s="16"/>
      <c r="D64" s="15"/>
      <c r="E64" s="14"/>
      <c r="F64" s="15"/>
      <c r="G64" s="4"/>
    </row>
    <row r="65" spans="4:6" ht="17.100000000000001" customHeight="1">
      <c r="D65" s="18"/>
      <c r="E65" s="19"/>
      <c r="F65" s="18"/>
    </row>
    <row r="66" spans="4:6" ht="17.100000000000001" customHeight="1">
      <c r="D66" s="18"/>
      <c r="E66" s="19"/>
      <c r="F66" s="18"/>
    </row>
  </sheetData>
  <mergeCells count="2">
    <mergeCell ref="B1:G1"/>
    <mergeCell ref="B2:G2"/>
  </mergeCells>
  <phoneticPr fontId="17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75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66"/>
  <sheetViews>
    <sheetView showGridLines="0" zoomScale="85" zoomScaleNormal="85" workbookViewId="0">
      <selection activeCell="E15" sqref="E15"/>
    </sheetView>
  </sheetViews>
  <sheetFormatPr defaultColWidth="1.7109375" defaultRowHeight="17.100000000000001" customHeight="1"/>
  <cols>
    <col min="1" max="1" width="2.28515625" style="10" customWidth="1"/>
    <col min="2" max="2" width="2.28515625" style="20" customWidth="1"/>
    <col min="3" max="3" width="29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2.28515625" style="10" customWidth="1"/>
    <col min="8" max="255" width="9.140625" style="9" customWidth="1"/>
    <col min="256" max="16384" width="1.7109375" style="9"/>
  </cols>
  <sheetData>
    <row r="1" spans="2:7" s="1" customFormat="1" ht="21.95" customHeight="1">
      <c r="B1" s="249" t="s">
        <v>105</v>
      </c>
      <c r="C1" s="249"/>
      <c r="D1" s="249"/>
      <c r="E1" s="249"/>
      <c r="F1" s="249"/>
      <c r="G1" s="249"/>
    </row>
    <row r="2" spans="2:7" s="2" customFormat="1" ht="15" customHeight="1">
      <c r="B2" s="250" t="s">
        <v>189</v>
      </c>
      <c r="C2" s="250"/>
      <c r="D2" s="250"/>
      <c r="E2" s="250"/>
      <c r="F2" s="250"/>
      <c r="G2" s="250"/>
    </row>
    <row r="3" spans="2:7" s="4" customFormat="1" ht="11.1" customHeight="1" thickBot="1">
      <c r="B3" s="77"/>
      <c r="C3" s="78"/>
      <c r="D3" s="79"/>
      <c r="E3" s="80"/>
      <c r="F3" s="81" t="s">
        <v>54</v>
      </c>
      <c r="G3" s="81"/>
    </row>
    <row r="4" spans="2:7" s="6" customFormat="1" ht="15.6" customHeight="1">
      <c r="B4" s="82"/>
      <c r="C4" s="83" t="s">
        <v>95</v>
      </c>
      <c r="D4" s="84" t="s">
        <v>55</v>
      </c>
      <c r="E4" s="84" t="s">
        <v>56</v>
      </c>
      <c r="F4" s="84" t="s">
        <v>57</v>
      </c>
      <c r="G4" s="85"/>
    </row>
    <row r="5" spans="2:7" s="7" customFormat="1" ht="20.100000000000001" customHeight="1">
      <c r="B5" s="86"/>
      <c r="C5" s="87" t="s">
        <v>106</v>
      </c>
      <c r="D5" s="211">
        <f>SUM(D7,D11,D15,D21,D22,D23,D24,D28,D31,D32,D33,D38,D43,D47,D48,D49,D53,D57)</f>
        <v>33969</v>
      </c>
      <c r="E5" s="211">
        <f t="shared" ref="E5:F5" si="0">SUM(E7,E11,E15,E21,E22,E23,E24,E28,E31,E32,E33,E38,E43,E47,E48,E49,E53,E57)</f>
        <v>23437</v>
      </c>
      <c r="F5" s="211">
        <f t="shared" si="0"/>
        <v>10532</v>
      </c>
      <c r="G5" s="89"/>
    </row>
    <row r="6" spans="2:7" s="8" customFormat="1" ht="15" customHeight="1" thickBot="1">
      <c r="B6" s="90"/>
      <c r="C6" s="91" t="s">
        <v>107</v>
      </c>
      <c r="D6" s="92">
        <v>-2476</v>
      </c>
      <c r="E6" s="92">
        <v>-1343</v>
      </c>
      <c r="F6" s="92">
        <v>-1133</v>
      </c>
      <c r="G6" s="93"/>
    </row>
    <row r="7" spans="2:7" ht="15.6" customHeight="1" thickTop="1">
      <c r="B7" s="94"/>
      <c r="C7" s="94" t="s">
        <v>108</v>
      </c>
      <c r="D7" s="212">
        <v>32</v>
      </c>
      <c r="E7" s="212">
        <v>0</v>
      </c>
      <c r="F7" s="212">
        <v>32</v>
      </c>
      <c r="G7" s="96"/>
    </row>
    <row r="8" spans="2:7" ht="15.6" customHeight="1">
      <c r="B8" s="97"/>
      <c r="C8" s="97" t="s">
        <v>0</v>
      </c>
      <c r="D8" s="213">
        <v>25</v>
      </c>
      <c r="E8" s="213">
        <v>0</v>
      </c>
      <c r="F8" s="213">
        <v>25</v>
      </c>
      <c r="G8" s="99"/>
    </row>
    <row r="9" spans="2:7" ht="15.6" customHeight="1">
      <c r="B9" s="97"/>
      <c r="C9" s="97" t="s">
        <v>1</v>
      </c>
      <c r="D9" s="213">
        <v>0</v>
      </c>
      <c r="E9" s="213">
        <v>0</v>
      </c>
      <c r="F9" s="213">
        <v>0</v>
      </c>
      <c r="G9" s="99"/>
    </row>
    <row r="10" spans="2:7" ht="15.6" customHeight="1">
      <c r="B10" s="97"/>
      <c r="C10" s="97" t="s">
        <v>2</v>
      </c>
      <c r="D10" s="213">
        <v>7</v>
      </c>
      <c r="E10" s="213">
        <v>0</v>
      </c>
      <c r="F10" s="213">
        <v>7</v>
      </c>
      <c r="G10" s="100"/>
    </row>
    <row r="11" spans="2:7" ht="15.6" customHeight="1">
      <c r="B11" s="101"/>
      <c r="C11" s="101" t="s">
        <v>3</v>
      </c>
      <c r="D11" s="214">
        <v>409</v>
      </c>
      <c r="E11" s="215">
        <v>0</v>
      </c>
      <c r="F11" s="215">
        <v>409</v>
      </c>
      <c r="G11" s="104"/>
    </row>
    <row r="12" spans="2:7" ht="15.6" customHeight="1">
      <c r="B12" s="97"/>
      <c r="C12" s="97" t="s">
        <v>0</v>
      </c>
      <c r="D12" s="213">
        <v>118</v>
      </c>
      <c r="E12" s="213">
        <v>0</v>
      </c>
      <c r="F12" s="213">
        <v>118</v>
      </c>
      <c r="G12" s="99"/>
    </row>
    <row r="13" spans="2:7" ht="15.6" customHeight="1">
      <c r="B13" s="97"/>
      <c r="C13" s="97" t="s">
        <v>1</v>
      </c>
      <c r="D13" s="213">
        <v>22</v>
      </c>
      <c r="E13" s="213">
        <v>0</v>
      </c>
      <c r="F13" s="213">
        <v>22</v>
      </c>
      <c r="G13" s="99"/>
    </row>
    <row r="14" spans="2:7" ht="15.6" customHeight="1">
      <c r="B14" s="105"/>
      <c r="C14" s="105" t="s">
        <v>2</v>
      </c>
      <c r="D14" s="213">
        <v>269</v>
      </c>
      <c r="E14" s="213">
        <v>0</v>
      </c>
      <c r="F14" s="213">
        <v>269</v>
      </c>
      <c r="G14" s="106"/>
    </row>
    <row r="15" spans="2:7" ht="15.6" customHeight="1">
      <c r="B15" s="107"/>
      <c r="C15" s="107" t="s">
        <v>109</v>
      </c>
      <c r="D15" s="216">
        <v>10445</v>
      </c>
      <c r="E15" s="217">
        <v>4092</v>
      </c>
      <c r="F15" s="217">
        <v>6353</v>
      </c>
      <c r="G15" s="110"/>
    </row>
    <row r="16" spans="2:7" ht="15.6" customHeight="1">
      <c r="B16" s="97"/>
      <c r="C16" s="97" t="s">
        <v>4</v>
      </c>
      <c r="D16" s="218">
        <v>1124</v>
      </c>
      <c r="E16" s="213">
        <v>0</v>
      </c>
      <c r="F16" s="218">
        <v>1124</v>
      </c>
      <c r="G16" s="99"/>
    </row>
    <row r="17" spans="1:7" ht="15.6" customHeight="1">
      <c r="B17" s="97"/>
      <c r="C17" s="97" t="s">
        <v>5</v>
      </c>
      <c r="D17" s="218">
        <v>6068</v>
      </c>
      <c r="E17" s="218">
        <v>2221</v>
      </c>
      <c r="F17" s="218">
        <v>3847</v>
      </c>
      <c r="G17" s="99"/>
    </row>
    <row r="18" spans="1:7" ht="15.6" customHeight="1">
      <c r="B18" s="97"/>
      <c r="C18" s="97" t="s">
        <v>6</v>
      </c>
      <c r="D18" s="213">
        <v>636</v>
      </c>
      <c r="E18" s="213">
        <v>0</v>
      </c>
      <c r="F18" s="213">
        <v>636</v>
      </c>
      <c r="G18" s="99"/>
    </row>
    <row r="19" spans="1:7" ht="15.6" customHeight="1">
      <c r="B19" s="97"/>
      <c r="C19" s="97" t="s">
        <v>7</v>
      </c>
      <c r="D19" s="218">
        <v>2617</v>
      </c>
      <c r="E19" s="218">
        <v>1871</v>
      </c>
      <c r="F19" s="213">
        <v>746</v>
      </c>
      <c r="G19" s="99"/>
    </row>
    <row r="20" spans="1:7" s="12" customFormat="1" ht="12">
      <c r="A20" s="11"/>
      <c r="B20" s="111"/>
      <c r="C20" s="111" t="s">
        <v>110</v>
      </c>
      <c r="D20" s="198">
        <v>-2476</v>
      </c>
      <c r="E20" s="198">
        <v>-1343</v>
      </c>
      <c r="F20" s="198">
        <v>-1133</v>
      </c>
      <c r="G20" s="113"/>
    </row>
    <row r="21" spans="1:7" ht="15.6" customHeight="1">
      <c r="B21" s="114"/>
      <c r="C21" s="114" t="s">
        <v>8</v>
      </c>
      <c r="D21" s="219">
        <v>3179</v>
      </c>
      <c r="E21" s="220">
        <v>338</v>
      </c>
      <c r="F21" s="219">
        <v>2841</v>
      </c>
      <c r="G21" s="116"/>
    </row>
    <row r="22" spans="1:7" ht="15.6" customHeight="1">
      <c r="B22" s="114"/>
      <c r="C22" s="114" t="s">
        <v>9</v>
      </c>
      <c r="D22" s="219">
        <v>2447</v>
      </c>
      <c r="E22" s="219">
        <v>2240</v>
      </c>
      <c r="F22" s="220">
        <v>207</v>
      </c>
      <c r="G22" s="116"/>
    </row>
    <row r="23" spans="1:7" ht="15.6" customHeight="1">
      <c r="B23" s="114"/>
      <c r="C23" s="114" t="s">
        <v>26</v>
      </c>
      <c r="D23" s="220">
        <v>6</v>
      </c>
      <c r="E23" s="220">
        <v>0</v>
      </c>
      <c r="F23" s="220">
        <v>6</v>
      </c>
      <c r="G23" s="116"/>
    </row>
    <row r="24" spans="1:7" ht="15.6" customHeight="1">
      <c r="B24" s="107"/>
      <c r="C24" s="107" t="s">
        <v>10</v>
      </c>
      <c r="D24" s="221">
        <v>14</v>
      </c>
      <c r="E24" s="222">
        <v>6</v>
      </c>
      <c r="F24" s="222">
        <v>8</v>
      </c>
      <c r="G24" s="110"/>
    </row>
    <row r="25" spans="1:7" ht="15.6" customHeight="1">
      <c r="A25" s="13"/>
      <c r="B25" s="117"/>
      <c r="C25" s="117" t="s">
        <v>111</v>
      </c>
      <c r="D25" s="213">
        <v>0</v>
      </c>
      <c r="E25" s="213">
        <v>0</v>
      </c>
      <c r="F25" s="213">
        <v>0</v>
      </c>
      <c r="G25" s="99"/>
    </row>
    <row r="26" spans="1:7" ht="15.6" customHeight="1">
      <c r="A26" s="13"/>
      <c r="B26" s="117"/>
      <c r="C26" s="117" t="s">
        <v>112</v>
      </c>
      <c r="D26" s="213">
        <v>7</v>
      </c>
      <c r="E26" s="213">
        <v>3</v>
      </c>
      <c r="F26" s="213">
        <v>4</v>
      </c>
      <c r="G26" s="99"/>
    </row>
    <row r="27" spans="1:7" ht="15.6" customHeight="1">
      <c r="A27" s="13"/>
      <c r="B27" s="118"/>
      <c r="C27" s="118" t="s">
        <v>113</v>
      </c>
      <c r="D27" s="213">
        <v>7</v>
      </c>
      <c r="E27" s="213">
        <v>3</v>
      </c>
      <c r="F27" s="213">
        <v>4</v>
      </c>
      <c r="G27" s="106"/>
    </row>
    <row r="28" spans="1:7" ht="15.6" customHeight="1">
      <c r="B28" s="107"/>
      <c r="C28" s="107" t="s">
        <v>167</v>
      </c>
      <c r="D28" s="221">
        <v>581</v>
      </c>
      <c r="E28" s="222">
        <v>132</v>
      </c>
      <c r="F28" s="222">
        <v>449</v>
      </c>
      <c r="G28" s="110"/>
    </row>
    <row r="29" spans="1:7" ht="15.6" customHeight="1">
      <c r="B29" s="117"/>
      <c r="C29" s="117" t="s">
        <v>11</v>
      </c>
      <c r="D29" s="213">
        <v>337</v>
      </c>
      <c r="E29" s="213">
        <v>0</v>
      </c>
      <c r="F29" s="213">
        <v>337</v>
      </c>
      <c r="G29" s="99"/>
    </row>
    <row r="30" spans="1:7" ht="15.6" customHeight="1">
      <c r="B30" s="119"/>
      <c r="C30" s="119" t="s">
        <v>12</v>
      </c>
      <c r="D30" s="213">
        <v>244</v>
      </c>
      <c r="E30" s="213">
        <v>132</v>
      </c>
      <c r="F30" s="213">
        <v>112</v>
      </c>
      <c r="G30" s="106"/>
    </row>
    <row r="31" spans="1:7" ht="15.6" customHeight="1">
      <c r="B31" s="120"/>
      <c r="C31" s="120" t="s">
        <v>30</v>
      </c>
      <c r="D31" s="220">
        <v>0</v>
      </c>
      <c r="E31" s="220">
        <v>0</v>
      </c>
      <c r="F31" s="220">
        <v>0</v>
      </c>
      <c r="G31" s="116"/>
    </row>
    <row r="32" spans="1:7" ht="15.6" customHeight="1">
      <c r="B32" s="120"/>
      <c r="C32" s="120" t="s">
        <v>13</v>
      </c>
      <c r="D32" s="220">
        <v>21</v>
      </c>
      <c r="E32" s="220">
        <v>1</v>
      </c>
      <c r="F32" s="220">
        <v>20</v>
      </c>
      <c r="G32" s="116"/>
    </row>
    <row r="33" spans="1:7" ht="15.6" customHeight="1">
      <c r="A33" s="13"/>
      <c r="B33" s="107"/>
      <c r="C33" s="107" t="s">
        <v>14</v>
      </c>
      <c r="D33" s="221">
        <v>115</v>
      </c>
      <c r="E33" s="222">
        <v>94</v>
      </c>
      <c r="F33" s="222">
        <v>21</v>
      </c>
      <c r="G33" s="110"/>
    </row>
    <row r="34" spans="1:7" ht="15.6" customHeight="1">
      <c r="B34" s="117"/>
      <c r="C34" s="117" t="s">
        <v>32</v>
      </c>
      <c r="D34" s="213">
        <v>7</v>
      </c>
      <c r="E34" s="213">
        <v>0</v>
      </c>
      <c r="F34" s="213">
        <v>7</v>
      </c>
      <c r="G34" s="99"/>
    </row>
    <row r="35" spans="1:7" ht="15.6" customHeight="1">
      <c r="B35" s="117"/>
      <c r="C35" s="117" t="s">
        <v>33</v>
      </c>
      <c r="D35" s="213">
        <v>80</v>
      </c>
      <c r="E35" s="213">
        <v>76</v>
      </c>
      <c r="F35" s="213">
        <v>4</v>
      </c>
      <c r="G35" s="99"/>
    </row>
    <row r="36" spans="1:7" ht="15.6" customHeight="1">
      <c r="B36" s="117"/>
      <c r="C36" s="117" t="s">
        <v>34</v>
      </c>
      <c r="D36" s="213">
        <v>5</v>
      </c>
      <c r="E36" s="213">
        <v>0</v>
      </c>
      <c r="F36" s="213">
        <v>5</v>
      </c>
      <c r="G36" s="99"/>
    </row>
    <row r="37" spans="1:7" ht="15.6" customHeight="1">
      <c r="B37" s="118"/>
      <c r="C37" s="118" t="s">
        <v>35</v>
      </c>
      <c r="D37" s="213">
        <v>23</v>
      </c>
      <c r="E37" s="213">
        <v>18</v>
      </c>
      <c r="F37" s="213">
        <v>5</v>
      </c>
      <c r="G37" s="106"/>
    </row>
    <row r="38" spans="1:7" ht="15.6" customHeight="1">
      <c r="A38" s="13"/>
      <c r="B38" s="107"/>
      <c r="C38" s="107" t="s">
        <v>114</v>
      </c>
      <c r="D38" s="221">
        <v>384</v>
      </c>
      <c r="E38" s="222">
        <v>248</v>
      </c>
      <c r="F38" s="222">
        <v>136</v>
      </c>
      <c r="G38" s="110"/>
    </row>
    <row r="39" spans="1:7" ht="15.6" customHeight="1">
      <c r="B39" s="121"/>
      <c r="C39" s="121" t="s">
        <v>115</v>
      </c>
      <c r="D39" s="213">
        <v>89</v>
      </c>
      <c r="E39" s="213">
        <v>0</v>
      </c>
      <c r="F39" s="213">
        <v>89</v>
      </c>
      <c r="G39" s="123"/>
    </row>
    <row r="40" spans="1:7" ht="15.6" customHeight="1">
      <c r="B40" s="117"/>
      <c r="C40" s="117" t="s">
        <v>49</v>
      </c>
      <c r="D40" s="213">
        <v>268</v>
      </c>
      <c r="E40" s="213">
        <v>236</v>
      </c>
      <c r="F40" s="213">
        <v>32</v>
      </c>
      <c r="G40" s="99"/>
    </row>
    <row r="41" spans="1:7" ht="15.6" customHeight="1">
      <c r="B41" s="117"/>
      <c r="C41" s="117" t="s">
        <v>116</v>
      </c>
      <c r="D41" s="213">
        <v>14</v>
      </c>
      <c r="E41" s="213">
        <v>0</v>
      </c>
      <c r="F41" s="213">
        <v>14</v>
      </c>
      <c r="G41" s="99"/>
    </row>
    <row r="42" spans="1:7" ht="15.6" customHeight="1">
      <c r="B42" s="118"/>
      <c r="C42" s="118" t="s">
        <v>51</v>
      </c>
      <c r="D42" s="213">
        <v>13</v>
      </c>
      <c r="E42" s="213">
        <v>12</v>
      </c>
      <c r="F42" s="213">
        <v>1</v>
      </c>
      <c r="G42" s="106"/>
    </row>
    <row r="43" spans="1:7" ht="15.6" customHeight="1">
      <c r="B43" s="107"/>
      <c r="C43" s="107" t="s">
        <v>15</v>
      </c>
      <c r="D43" s="216">
        <v>7952</v>
      </c>
      <c r="E43" s="217">
        <v>7952</v>
      </c>
      <c r="F43" s="222">
        <v>0</v>
      </c>
      <c r="G43" s="110"/>
    </row>
    <row r="44" spans="1:7" ht="15.6" customHeight="1">
      <c r="B44" s="117"/>
      <c r="C44" s="117" t="s">
        <v>153</v>
      </c>
      <c r="D44" s="218">
        <v>1282</v>
      </c>
      <c r="E44" s="218">
        <v>1282</v>
      </c>
      <c r="F44" s="213">
        <v>0</v>
      </c>
      <c r="G44" s="99"/>
    </row>
    <row r="45" spans="1:7" ht="15.6" customHeight="1">
      <c r="B45" s="117"/>
      <c r="C45" s="117" t="s">
        <v>37</v>
      </c>
      <c r="D45" s="218">
        <v>6657</v>
      </c>
      <c r="E45" s="218">
        <v>6657</v>
      </c>
      <c r="F45" s="213">
        <v>0</v>
      </c>
      <c r="G45" s="99"/>
    </row>
    <row r="46" spans="1:7" ht="15.6" customHeight="1">
      <c r="B46" s="118"/>
      <c r="C46" s="118" t="s">
        <v>155</v>
      </c>
      <c r="D46" s="213">
        <v>13</v>
      </c>
      <c r="E46" s="213">
        <v>13</v>
      </c>
      <c r="F46" s="213">
        <v>0</v>
      </c>
      <c r="G46" s="106"/>
    </row>
    <row r="47" spans="1:7" ht="15.6" customHeight="1">
      <c r="A47" s="13"/>
      <c r="B47" s="114"/>
      <c r="C47" s="114" t="s">
        <v>52</v>
      </c>
      <c r="D47" s="219">
        <v>1998</v>
      </c>
      <c r="E47" s="219">
        <v>1998</v>
      </c>
      <c r="F47" s="220">
        <v>0</v>
      </c>
      <c r="G47" s="116"/>
    </row>
    <row r="48" spans="1:7" ht="15.6" customHeight="1">
      <c r="A48" s="13"/>
      <c r="B48" s="114"/>
      <c r="C48" s="114" t="s">
        <v>117</v>
      </c>
      <c r="D48" s="220">
        <v>11</v>
      </c>
      <c r="E48" s="220">
        <v>11</v>
      </c>
      <c r="F48" s="220">
        <v>0</v>
      </c>
      <c r="G48" s="116"/>
    </row>
    <row r="49" spans="1:7" ht="15.6" customHeight="1">
      <c r="A49" s="13"/>
      <c r="B49" s="107"/>
      <c r="C49" s="107" t="s">
        <v>16</v>
      </c>
      <c r="D49" s="221">
        <v>56</v>
      </c>
      <c r="E49" s="222">
        <v>38</v>
      </c>
      <c r="F49" s="222">
        <v>18</v>
      </c>
      <c r="G49" s="110"/>
    </row>
    <row r="50" spans="1:7" ht="15.6" customHeight="1">
      <c r="B50" s="97"/>
      <c r="C50" s="97" t="s">
        <v>158</v>
      </c>
      <c r="D50" s="213">
        <v>1</v>
      </c>
      <c r="E50" s="213">
        <v>0</v>
      </c>
      <c r="F50" s="213">
        <v>1</v>
      </c>
      <c r="G50" s="99"/>
    </row>
    <row r="51" spans="1:7" ht="15.6" customHeight="1">
      <c r="B51" s="97"/>
      <c r="C51" s="97" t="s">
        <v>118</v>
      </c>
      <c r="D51" s="213">
        <v>23</v>
      </c>
      <c r="E51" s="213">
        <v>14</v>
      </c>
      <c r="F51" s="213">
        <v>9</v>
      </c>
      <c r="G51" s="99"/>
    </row>
    <row r="52" spans="1:7" ht="15.6" customHeight="1">
      <c r="B52" s="105"/>
      <c r="C52" s="105" t="s">
        <v>142</v>
      </c>
      <c r="D52" s="213">
        <v>32</v>
      </c>
      <c r="E52" s="213">
        <v>24</v>
      </c>
      <c r="F52" s="213">
        <v>8</v>
      </c>
      <c r="G52" s="106"/>
    </row>
    <row r="53" spans="1:7" ht="15.6" customHeight="1">
      <c r="A53" s="13"/>
      <c r="B53" s="107"/>
      <c r="C53" s="107" t="s">
        <v>17</v>
      </c>
      <c r="D53" s="221">
        <v>149</v>
      </c>
      <c r="E53" s="222">
        <v>117</v>
      </c>
      <c r="F53" s="222">
        <v>32</v>
      </c>
      <c r="G53" s="110"/>
    </row>
    <row r="54" spans="1:7" ht="15.6" customHeight="1">
      <c r="B54" s="97"/>
      <c r="C54" s="97" t="s">
        <v>160</v>
      </c>
      <c r="D54" s="213">
        <v>2</v>
      </c>
      <c r="E54" s="213">
        <v>0</v>
      </c>
      <c r="F54" s="213">
        <v>2</v>
      </c>
      <c r="G54" s="99"/>
    </row>
    <row r="55" spans="1:7" ht="15.6" customHeight="1">
      <c r="B55" s="97"/>
      <c r="C55" s="97" t="s">
        <v>39</v>
      </c>
      <c r="D55" s="213">
        <v>37</v>
      </c>
      <c r="E55" s="213">
        <v>35</v>
      </c>
      <c r="F55" s="213">
        <v>2</v>
      </c>
      <c r="G55" s="99"/>
    </row>
    <row r="56" spans="1:7" ht="15.6" customHeight="1">
      <c r="B56" s="105"/>
      <c r="C56" s="105" t="s">
        <v>40</v>
      </c>
      <c r="D56" s="213">
        <v>110</v>
      </c>
      <c r="E56" s="213">
        <v>82</v>
      </c>
      <c r="F56" s="213">
        <v>28</v>
      </c>
      <c r="G56" s="106"/>
    </row>
    <row r="57" spans="1:7" ht="15.6" customHeight="1" thickBot="1">
      <c r="B57" s="124"/>
      <c r="C57" s="124" t="s">
        <v>119</v>
      </c>
      <c r="D57" s="223">
        <v>6170</v>
      </c>
      <c r="E57" s="223">
        <v>6170</v>
      </c>
      <c r="F57" s="224">
        <v>0</v>
      </c>
      <c r="G57" s="126"/>
    </row>
    <row r="58" spans="1:7" s="13" customFormat="1" ht="2.25" customHeight="1">
      <c r="B58" s="127"/>
      <c r="C58" s="97"/>
      <c r="D58" s="128"/>
      <c r="E58" s="128"/>
      <c r="F58" s="128"/>
      <c r="G58" s="129"/>
    </row>
    <row r="59" spans="1:7" s="5" customFormat="1" ht="11.25" customHeight="1">
      <c r="B59" s="130" t="s">
        <v>100</v>
      </c>
      <c r="C59" s="131"/>
      <c r="D59" s="132"/>
      <c r="E59" s="132"/>
      <c r="F59" s="133"/>
      <c r="G59" s="80"/>
    </row>
    <row r="60" spans="1:7" s="4" customFormat="1" ht="11.25">
      <c r="B60" s="134" t="s">
        <v>101</v>
      </c>
      <c r="C60" s="135"/>
      <c r="D60" s="136"/>
      <c r="E60" s="136"/>
      <c r="F60" s="137"/>
      <c r="G60" s="138"/>
    </row>
    <row r="61" spans="1:7" s="4" customFormat="1" ht="11.25" customHeight="1">
      <c r="B61" s="134" t="s">
        <v>102</v>
      </c>
      <c r="C61" s="139"/>
      <c r="D61" s="136"/>
      <c r="E61" s="132"/>
      <c r="F61" s="140"/>
      <c r="G61" s="79"/>
    </row>
    <row r="62" spans="1:7" s="4" customFormat="1" ht="14.1" customHeight="1">
      <c r="B62" s="134" t="s">
        <v>103</v>
      </c>
      <c r="C62" s="139"/>
      <c r="D62" s="136"/>
      <c r="E62" s="132"/>
      <c r="F62" s="140"/>
      <c r="G62" s="79"/>
    </row>
    <row r="63" spans="1:7" s="4" customFormat="1" ht="14.1" customHeight="1">
      <c r="B63" s="134" t="s">
        <v>104</v>
      </c>
      <c r="C63" s="139"/>
      <c r="D63" s="136"/>
      <c r="E63" s="132"/>
      <c r="F63" s="140"/>
      <c r="G63" s="79"/>
    </row>
    <row r="64" spans="1:7" s="17" customFormat="1" ht="17.100000000000001" customHeight="1">
      <c r="A64" s="4"/>
      <c r="B64" s="3"/>
      <c r="C64" s="16"/>
      <c r="D64" s="15"/>
      <c r="E64" s="14"/>
      <c r="F64" s="15"/>
      <c r="G64" s="4"/>
    </row>
    <row r="65" spans="4:6" ht="17.100000000000001" customHeight="1">
      <c r="D65" s="18"/>
      <c r="E65" s="19"/>
      <c r="F65" s="18"/>
    </row>
    <row r="66" spans="4:6" ht="17.100000000000001" customHeight="1">
      <c r="D66" s="18"/>
      <c r="E66" s="19"/>
      <c r="F66" s="18"/>
    </row>
  </sheetData>
  <mergeCells count="2">
    <mergeCell ref="B1:G1"/>
    <mergeCell ref="B2:G2"/>
  </mergeCells>
  <phoneticPr fontId="17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75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H66"/>
  <sheetViews>
    <sheetView showGridLines="0" zoomScale="85" zoomScaleNormal="85" workbookViewId="0">
      <selection activeCell="E17" sqref="E17"/>
    </sheetView>
  </sheetViews>
  <sheetFormatPr defaultColWidth="1.7109375" defaultRowHeight="17.100000000000001" customHeight="1"/>
  <cols>
    <col min="1" max="1" width="2.28515625" style="10" customWidth="1"/>
    <col min="2" max="2" width="2.28515625" style="20" customWidth="1"/>
    <col min="3" max="3" width="29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2.28515625" style="10" customWidth="1"/>
    <col min="8" max="255" width="9.140625" style="9" customWidth="1"/>
    <col min="256" max="16384" width="1.7109375" style="9"/>
  </cols>
  <sheetData>
    <row r="1" spans="2:8" s="1" customFormat="1" ht="21.95" customHeight="1">
      <c r="B1" s="249" t="s">
        <v>105</v>
      </c>
      <c r="C1" s="249"/>
      <c r="D1" s="249"/>
      <c r="E1" s="249"/>
      <c r="F1" s="249"/>
      <c r="G1" s="249"/>
    </row>
    <row r="2" spans="2:8" s="2" customFormat="1" ht="15" customHeight="1">
      <c r="B2" s="250" t="s">
        <v>190</v>
      </c>
      <c r="C2" s="250"/>
      <c r="D2" s="250"/>
      <c r="E2" s="250"/>
      <c r="F2" s="250"/>
      <c r="G2" s="250"/>
    </row>
    <row r="3" spans="2:8" s="4" customFormat="1" ht="11.1" customHeight="1" thickBot="1">
      <c r="B3" s="77"/>
      <c r="C3" s="78"/>
      <c r="D3" s="79"/>
      <c r="E3" s="80"/>
      <c r="F3" s="81" t="s">
        <v>54</v>
      </c>
      <c r="G3" s="81"/>
    </row>
    <row r="4" spans="2:8" s="6" customFormat="1" ht="15.6" customHeight="1">
      <c r="B4" s="82"/>
      <c r="C4" s="83" t="s">
        <v>95</v>
      </c>
      <c r="D4" s="84" t="s">
        <v>55</v>
      </c>
      <c r="E4" s="84" t="s">
        <v>56</v>
      </c>
      <c r="F4" s="84" t="s">
        <v>57</v>
      </c>
      <c r="G4" s="85"/>
    </row>
    <row r="5" spans="2:8" s="7" customFormat="1" ht="20.100000000000001" customHeight="1">
      <c r="B5" s="86"/>
      <c r="C5" s="87" t="s">
        <v>106</v>
      </c>
      <c r="D5" s="88">
        <f>SUM(D7,D11,D15,D21,D22,D23,D24,D28,D31,D32,D33,D38,D43,D47,D48,D49,D53,D57)</f>
        <v>29849</v>
      </c>
      <c r="E5" s="88">
        <f t="shared" ref="E5:F5" si="0">SUM(E7,E11,E15,E21,E22,E23,E24,E28,E31,E32,E33,E38,E43,E47,E48,E49,E53,E57)</f>
        <v>19386</v>
      </c>
      <c r="F5" s="88">
        <f t="shared" si="0"/>
        <v>10463</v>
      </c>
      <c r="G5" s="89"/>
    </row>
    <row r="6" spans="2:8" s="8" customFormat="1" ht="15" customHeight="1" thickBot="1">
      <c r="B6" s="90"/>
      <c r="C6" s="91" t="s">
        <v>107</v>
      </c>
      <c r="D6" s="92">
        <v>-2330</v>
      </c>
      <c r="E6" s="92">
        <v>-1245</v>
      </c>
      <c r="F6" s="92">
        <v>-1085</v>
      </c>
      <c r="G6" s="93"/>
    </row>
    <row r="7" spans="2:8" ht="15.6" customHeight="1" thickTop="1">
      <c r="B7" s="94"/>
      <c r="C7" s="94" t="s">
        <v>108</v>
      </c>
      <c r="D7" s="95">
        <v>25</v>
      </c>
      <c r="E7" s="95">
        <v>0</v>
      </c>
      <c r="F7" s="95">
        <v>25</v>
      </c>
      <c r="G7" s="96"/>
    </row>
    <row r="8" spans="2:8" ht="15.6" customHeight="1">
      <c r="B8" s="97"/>
      <c r="C8" s="97" t="s">
        <v>0</v>
      </c>
      <c r="D8" s="98">
        <v>21</v>
      </c>
      <c r="E8" s="98">
        <v>0</v>
      </c>
      <c r="F8" s="98">
        <v>21</v>
      </c>
      <c r="G8" s="99"/>
    </row>
    <row r="9" spans="2:8" ht="15.6" customHeight="1">
      <c r="B9" s="97"/>
      <c r="C9" s="97" t="s">
        <v>1</v>
      </c>
      <c r="D9" s="98">
        <v>3</v>
      </c>
      <c r="E9" s="98">
        <v>0</v>
      </c>
      <c r="F9" s="98">
        <v>3</v>
      </c>
      <c r="G9" s="99"/>
    </row>
    <row r="10" spans="2:8" ht="15.6" customHeight="1">
      <c r="B10" s="97"/>
      <c r="C10" s="97" t="s">
        <v>2</v>
      </c>
      <c r="D10" s="98">
        <v>1</v>
      </c>
      <c r="E10" s="98">
        <v>0</v>
      </c>
      <c r="F10" s="98">
        <v>1</v>
      </c>
      <c r="G10" s="100"/>
    </row>
    <row r="11" spans="2:8" ht="15.6" customHeight="1">
      <c r="B11" s="101"/>
      <c r="C11" s="101" t="s">
        <v>3</v>
      </c>
      <c r="D11" s="102">
        <v>250</v>
      </c>
      <c r="E11" s="103">
        <v>1</v>
      </c>
      <c r="F11" s="103">
        <v>249</v>
      </c>
      <c r="G11" s="104"/>
    </row>
    <row r="12" spans="2:8" ht="15.6" customHeight="1">
      <c r="B12" s="97"/>
      <c r="C12" s="97" t="s">
        <v>0</v>
      </c>
      <c r="D12" s="98">
        <v>136</v>
      </c>
      <c r="E12" s="98">
        <v>0</v>
      </c>
      <c r="F12" s="98">
        <v>136</v>
      </c>
      <c r="G12" s="99"/>
    </row>
    <row r="13" spans="2:8" ht="15.6" customHeight="1">
      <c r="B13" s="97"/>
      <c r="C13" s="97" t="s">
        <v>1</v>
      </c>
      <c r="D13" s="98">
        <v>24</v>
      </c>
      <c r="E13" s="98">
        <v>0</v>
      </c>
      <c r="F13" s="98">
        <v>24</v>
      </c>
      <c r="G13" s="99"/>
    </row>
    <row r="14" spans="2:8" ht="15.6" customHeight="1">
      <c r="B14" s="105"/>
      <c r="C14" s="105" t="s">
        <v>2</v>
      </c>
      <c r="D14" s="98">
        <v>90</v>
      </c>
      <c r="E14" s="98">
        <v>1</v>
      </c>
      <c r="F14" s="98">
        <v>89</v>
      </c>
      <c r="G14" s="106"/>
    </row>
    <row r="15" spans="2:8" ht="15.6" customHeight="1">
      <c r="B15" s="107"/>
      <c r="C15" s="107" t="s">
        <v>109</v>
      </c>
      <c r="D15" s="108">
        <v>11146</v>
      </c>
      <c r="E15" s="109">
        <v>4102</v>
      </c>
      <c r="F15" s="109">
        <v>7044</v>
      </c>
      <c r="G15" s="110"/>
      <c r="H15" s="30"/>
    </row>
    <row r="16" spans="2:8" ht="15.6" customHeight="1">
      <c r="B16" s="97"/>
      <c r="C16" s="97" t="s">
        <v>4</v>
      </c>
      <c r="D16" s="98">
        <v>1291</v>
      </c>
      <c r="E16" s="98">
        <v>0</v>
      </c>
      <c r="F16" s="98">
        <v>1291</v>
      </c>
      <c r="G16" s="99"/>
    </row>
    <row r="17" spans="1:7" ht="15.6" customHeight="1">
      <c r="B17" s="97"/>
      <c r="C17" s="97" t="s">
        <v>5</v>
      </c>
      <c r="D17" s="98">
        <v>6657</v>
      </c>
      <c r="E17" s="98">
        <v>2232</v>
      </c>
      <c r="F17" s="98">
        <v>4425</v>
      </c>
      <c r="G17" s="99"/>
    </row>
    <row r="18" spans="1:7" ht="15.6" customHeight="1">
      <c r="B18" s="97"/>
      <c r="C18" s="97" t="s">
        <v>6</v>
      </c>
      <c r="D18" s="98">
        <v>565</v>
      </c>
      <c r="E18" s="98">
        <v>0</v>
      </c>
      <c r="F18" s="98">
        <v>565</v>
      </c>
      <c r="G18" s="99"/>
    </row>
    <row r="19" spans="1:7" ht="15.6" customHeight="1">
      <c r="B19" s="97"/>
      <c r="C19" s="97" t="s">
        <v>7</v>
      </c>
      <c r="D19" s="98">
        <v>2633</v>
      </c>
      <c r="E19" s="98">
        <v>1870</v>
      </c>
      <c r="F19" s="98">
        <v>763</v>
      </c>
      <c r="G19" s="99"/>
    </row>
    <row r="20" spans="1:7" s="12" customFormat="1" ht="12">
      <c r="A20" s="11"/>
      <c r="B20" s="111"/>
      <c r="C20" s="111" t="s">
        <v>110</v>
      </c>
      <c r="D20" s="112">
        <v>-2330</v>
      </c>
      <c r="E20" s="112">
        <v>-1245</v>
      </c>
      <c r="F20" s="112">
        <v>-1085</v>
      </c>
      <c r="G20" s="113"/>
    </row>
    <row r="21" spans="1:7" ht="15.6" customHeight="1">
      <c r="B21" s="114"/>
      <c r="C21" s="114" t="s">
        <v>8</v>
      </c>
      <c r="D21" s="115">
        <v>2494</v>
      </c>
      <c r="E21" s="115">
        <v>314</v>
      </c>
      <c r="F21" s="115">
        <v>2180</v>
      </c>
      <c r="G21" s="116"/>
    </row>
    <row r="22" spans="1:7" ht="15.6" customHeight="1">
      <c r="B22" s="114"/>
      <c r="C22" s="114" t="s">
        <v>9</v>
      </c>
      <c r="D22" s="115">
        <v>966</v>
      </c>
      <c r="E22" s="115">
        <v>864</v>
      </c>
      <c r="F22" s="115">
        <v>102</v>
      </c>
      <c r="G22" s="116"/>
    </row>
    <row r="23" spans="1:7" ht="15.6" customHeight="1">
      <c r="B23" s="114"/>
      <c r="C23" s="114" t="s">
        <v>26</v>
      </c>
      <c r="D23" s="115">
        <v>1</v>
      </c>
      <c r="E23" s="115">
        <v>0</v>
      </c>
      <c r="F23" s="115">
        <v>1</v>
      </c>
      <c r="G23" s="116"/>
    </row>
    <row r="24" spans="1:7" ht="15.6" customHeight="1">
      <c r="B24" s="107"/>
      <c r="C24" s="107" t="s">
        <v>10</v>
      </c>
      <c r="D24" s="108">
        <v>7</v>
      </c>
      <c r="E24" s="109">
        <v>5</v>
      </c>
      <c r="F24" s="109">
        <v>2</v>
      </c>
      <c r="G24" s="110"/>
    </row>
    <row r="25" spans="1:7" ht="15.6" customHeight="1">
      <c r="A25" s="13"/>
      <c r="B25" s="117"/>
      <c r="C25" s="117" t="s">
        <v>111</v>
      </c>
      <c r="D25" s="98">
        <v>0</v>
      </c>
      <c r="E25" s="98">
        <v>0</v>
      </c>
      <c r="F25" s="98">
        <v>0</v>
      </c>
      <c r="G25" s="99"/>
    </row>
    <row r="26" spans="1:7" ht="15.6" customHeight="1">
      <c r="A26" s="13"/>
      <c r="B26" s="117"/>
      <c r="C26" s="117" t="s">
        <v>112</v>
      </c>
      <c r="D26" s="98">
        <v>3</v>
      </c>
      <c r="E26" s="98">
        <v>2</v>
      </c>
      <c r="F26" s="98">
        <v>1</v>
      </c>
      <c r="G26" s="99"/>
    </row>
    <row r="27" spans="1:7" ht="15.6" customHeight="1">
      <c r="A27" s="13"/>
      <c r="B27" s="118"/>
      <c r="C27" s="118" t="s">
        <v>113</v>
      </c>
      <c r="D27" s="98">
        <v>4</v>
      </c>
      <c r="E27" s="98">
        <v>3</v>
      </c>
      <c r="F27" s="98">
        <v>1</v>
      </c>
      <c r="G27" s="106"/>
    </row>
    <row r="28" spans="1:7" ht="15.6" customHeight="1">
      <c r="B28" s="107"/>
      <c r="C28" s="107" t="s">
        <v>167</v>
      </c>
      <c r="D28" s="108">
        <v>837</v>
      </c>
      <c r="E28" s="109">
        <v>191</v>
      </c>
      <c r="F28" s="109">
        <v>646</v>
      </c>
      <c r="G28" s="110"/>
    </row>
    <row r="29" spans="1:7" ht="15.6" customHeight="1">
      <c r="B29" s="117"/>
      <c r="C29" s="117" t="s">
        <v>11</v>
      </c>
      <c r="D29" s="98">
        <v>475</v>
      </c>
      <c r="E29" s="98">
        <v>0</v>
      </c>
      <c r="F29" s="98">
        <v>475</v>
      </c>
      <c r="G29" s="99"/>
    </row>
    <row r="30" spans="1:7" ht="15.6" customHeight="1">
      <c r="B30" s="119"/>
      <c r="C30" s="119" t="s">
        <v>12</v>
      </c>
      <c r="D30" s="98">
        <v>362</v>
      </c>
      <c r="E30" s="98">
        <v>191</v>
      </c>
      <c r="F30" s="98">
        <v>171</v>
      </c>
      <c r="G30" s="106"/>
    </row>
    <row r="31" spans="1:7" ht="15.6" customHeight="1">
      <c r="B31" s="120"/>
      <c r="C31" s="120" t="s">
        <v>30</v>
      </c>
      <c r="D31" s="115">
        <v>0</v>
      </c>
      <c r="E31" s="115">
        <v>0</v>
      </c>
      <c r="F31" s="115">
        <v>0</v>
      </c>
      <c r="G31" s="116"/>
    </row>
    <row r="32" spans="1:7" ht="15.6" customHeight="1">
      <c r="B32" s="120"/>
      <c r="C32" s="120" t="s">
        <v>13</v>
      </c>
      <c r="D32" s="115">
        <v>4</v>
      </c>
      <c r="E32" s="115">
        <v>0</v>
      </c>
      <c r="F32" s="115">
        <v>4</v>
      </c>
      <c r="G32" s="116"/>
    </row>
    <row r="33" spans="1:7" ht="15.6" customHeight="1">
      <c r="A33" s="13"/>
      <c r="B33" s="107"/>
      <c r="C33" s="107" t="s">
        <v>14</v>
      </c>
      <c r="D33" s="108">
        <v>150</v>
      </c>
      <c r="E33" s="109">
        <v>124</v>
      </c>
      <c r="F33" s="109">
        <v>26</v>
      </c>
      <c r="G33" s="110"/>
    </row>
    <row r="34" spans="1:7" ht="15.6" customHeight="1">
      <c r="B34" s="117"/>
      <c r="C34" s="117" t="s">
        <v>32</v>
      </c>
      <c r="D34" s="98">
        <v>10</v>
      </c>
      <c r="E34" s="98">
        <v>0</v>
      </c>
      <c r="F34" s="98">
        <v>10</v>
      </c>
      <c r="G34" s="99"/>
    </row>
    <row r="35" spans="1:7" ht="15.6" customHeight="1">
      <c r="B35" s="117"/>
      <c r="C35" s="117" t="s">
        <v>33</v>
      </c>
      <c r="D35" s="98">
        <v>74</v>
      </c>
      <c r="E35" s="98">
        <v>74</v>
      </c>
      <c r="F35" s="98">
        <v>0</v>
      </c>
      <c r="G35" s="99"/>
    </row>
    <row r="36" spans="1:7" ht="15.6" customHeight="1">
      <c r="B36" s="117"/>
      <c r="C36" s="117" t="s">
        <v>34</v>
      </c>
      <c r="D36" s="98">
        <v>11</v>
      </c>
      <c r="E36" s="98">
        <v>0</v>
      </c>
      <c r="F36" s="98">
        <v>11</v>
      </c>
      <c r="G36" s="99"/>
    </row>
    <row r="37" spans="1:7" ht="15.6" customHeight="1">
      <c r="B37" s="118"/>
      <c r="C37" s="118" t="s">
        <v>35</v>
      </c>
      <c r="D37" s="98">
        <v>55</v>
      </c>
      <c r="E37" s="98">
        <v>50</v>
      </c>
      <c r="F37" s="98">
        <v>5</v>
      </c>
      <c r="G37" s="106"/>
    </row>
    <row r="38" spans="1:7" ht="15.6" customHeight="1">
      <c r="A38" s="13"/>
      <c r="B38" s="107"/>
      <c r="C38" s="107" t="s">
        <v>114</v>
      </c>
      <c r="D38" s="108">
        <v>388</v>
      </c>
      <c r="E38" s="109">
        <v>247</v>
      </c>
      <c r="F38" s="109">
        <v>141</v>
      </c>
      <c r="G38" s="110"/>
    </row>
    <row r="39" spans="1:7" ht="15.6" customHeight="1">
      <c r="B39" s="121"/>
      <c r="C39" s="121" t="s">
        <v>115</v>
      </c>
      <c r="D39" s="122">
        <v>78</v>
      </c>
      <c r="E39" s="122">
        <v>0</v>
      </c>
      <c r="F39" s="122">
        <v>78</v>
      </c>
      <c r="G39" s="123"/>
    </row>
    <row r="40" spans="1:7" ht="15.6" customHeight="1">
      <c r="B40" s="117"/>
      <c r="C40" s="117" t="s">
        <v>49</v>
      </c>
      <c r="D40" s="98">
        <v>259</v>
      </c>
      <c r="E40" s="98">
        <v>224</v>
      </c>
      <c r="F40" s="98">
        <v>35</v>
      </c>
      <c r="G40" s="99"/>
    </row>
    <row r="41" spans="1:7" ht="15.6" customHeight="1">
      <c r="B41" s="117"/>
      <c r="C41" s="117" t="s">
        <v>116</v>
      </c>
      <c r="D41" s="98">
        <v>28</v>
      </c>
      <c r="E41" s="98">
        <v>0</v>
      </c>
      <c r="F41" s="98">
        <v>28</v>
      </c>
      <c r="G41" s="99"/>
    </row>
    <row r="42" spans="1:7" ht="15.6" customHeight="1">
      <c r="B42" s="118"/>
      <c r="C42" s="118" t="s">
        <v>51</v>
      </c>
      <c r="D42" s="98">
        <v>23</v>
      </c>
      <c r="E42" s="98">
        <v>23</v>
      </c>
      <c r="F42" s="98">
        <v>0</v>
      </c>
      <c r="G42" s="106"/>
    </row>
    <row r="43" spans="1:7" ht="15.6" customHeight="1">
      <c r="B43" s="107"/>
      <c r="C43" s="107" t="s">
        <v>15</v>
      </c>
      <c r="D43" s="108">
        <v>7347</v>
      </c>
      <c r="E43" s="109">
        <v>7347</v>
      </c>
      <c r="F43" s="109">
        <v>0</v>
      </c>
      <c r="G43" s="110"/>
    </row>
    <row r="44" spans="1:7" ht="15.6" customHeight="1">
      <c r="B44" s="117"/>
      <c r="C44" s="117" t="s">
        <v>153</v>
      </c>
      <c r="D44" s="98">
        <v>1049</v>
      </c>
      <c r="E44" s="98">
        <v>1049</v>
      </c>
      <c r="F44" s="98">
        <v>0</v>
      </c>
      <c r="G44" s="99"/>
    </row>
    <row r="45" spans="1:7" ht="15.6" customHeight="1">
      <c r="B45" s="117"/>
      <c r="C45" s="117" t="s">
        <v>37</v>
      </c>
      <c r="D45" s="98">
        <v>6290</v>
      </c>
      <c r="E45" s="98">
        <v>6290</v>
      </c>
      <c r="F45" s="98">
        <v>0</v>
      </c>
      <c r="G45" s="99"/>
    </row>
    <row r="46" spans="1:7" ht="15.6" customHeight="1">
      <c r="B46" s="118"/>
      <c r="C46" s="118" t="s">
        <v>155</v>
      </c>
      <c r="D46" s="98">
        <v>8</v>
      </c>
      <c r="E46" s="98">
        <v>8</v>
      </c>
      <c r="F46" s="98">
        <v>0</v>
      </c>
      <c r="G46" s="106"/>
    </row>
    <row r="47" spans="1:7" ht="15.6" customHeight="1">
      <c r="A47" s="31"/>
      <c r="B47" s="114"/>
      <c r="C47" s="114" t="s">
        <v>52</v>
      </c>
      <c r="D47" s="115">
        <v>2459</v>
      </c>
      <c r="E47" s="115">
        <v>2459</v>
      </c>
      <c r="F47" s="115">
        <v>0</v>
      </c>
      <c r="G47" s="116"/>
    </row>
    <row r="48" spans="1:7" ht="15.6" customHeight="1">
      <c r="A48" s="31"/>
      <c r="B48" s="114"/>
      <c r="C48" s="114" t="s">
        <v>117</v>
      </c>
      <c r="D48" s="115">
        <v>4</v>
      </c>
      <c r="E48" s="115">
        <v>4</v>
      </c>
      <c r="F48" s="115">
        <v>0</v>
      </c>
      <c r="G48" s="116"/>
    </row>
    <row r="49" spans="1:7" ht="15.6" customHeight="1">
      <c r="A49" s="31"/>
      <c r="B49" s="107"/>
      <c r="C49" s="107" t="s">
        <v>16</v>
      </c>
      <c r="D49" s="108">
        <v>151</v>
      </c>
      <c r="E49" s="109">
        <v>128</v>
      </c>
      <c r="F49" s="109">
        <v>23</v>
      </c>
      <c r="G49" s="110"/>
    </row>
    <row r="50" spans="1:7" ht="15.6" customHeight="1">
      <c r="B50" s="97"/>
      <c r="C50" s="97" t="s">
        <v>158</v>
      </c>
      <c r="D50" s="98">
        <v>4</v>
      </c>
      <c r="E50" s="98">
        <v>0</v>
      </c>
      <c r="F50" s="98">
        <v>4</v>
      </c>
      <c r="G50" s="99"/>
    </row>
    <row r="51" spans="1:7" ht="15.6" customHeight="1">
      <c r="B51" s="97"/>
      <c r="C51" s="97" t="s">
        <v>118</v>
      </c>
      <c r="D51" s="98">
        <v>64</v>
      </c>
      <c r="E51" s="98">
        <v>51</v>
      </c>
      <c r="F51" s="98">
        <v>13</v>
      </c>
      <c r="G51" s="99"/>
    </row>
    <row r="52" spans="1:7" ht="15.6" customHeight="1">
      <c r="B52" s="105"/>
      <c r="C52" s="105" t="s">
        <v>142</v>
      </c>
      <c r="D52" s="98">
        <v>83</v>
      </c>
      <c r="E52" s="98">
        <v>77</v>
      </c>
      <c r="F52" s="98">
        <v>6</v>
      </c>
      <c r="G52" s="106"/>
    </row>
    <row r="53" spans="1:7" ht="15.6" customHeight="1">
      <c r="A53" s="13"/>
      <c r="B53" s="107"/>
      <c r="C53" s="107" t="s">
        <v>17</v>
      </c>
      <c r="D53" s="108">
        <v>76</v>
      </c>
      <c r="E53" s="109">
        <v>56</v>
      </c>
      <c r="F53" s="109">
        <v>20</v>
      </c>
      <c r="G53" s="110"/>
    </row>
    <row r="54" spans="1:7" ht="15.6" customHeight="1">
      <c r="B54" s="97"/>
      <c r="C54" s="97" t="s">
        <v>160</v>
      </c>
      <c r="D54" s="98">
        <v>0</v>
      </c>
      <c r="E54" s="98">
        <v>0</v>
      </c>
      <c r="F54" s="98">
        <v>0</v>
      </c>
      <c r="G54" s="99"/>
    </row>
    <row r="55" spans="1:7" ht="15.6" customHeight="1">
      <c r="B55" s="97"/>
      <c r="C55" s="97" t="s">
        <v>39</v>
      </c>
      <c r="D55" s="98">
        <v>23</v>
      </c>
      <c r="E55" s="98">
        <v>18</v>
      </c>
      <c r="F55" s="98">
        <v>5</v>
      </c>
      <c r="G55" s="99"/>
    </row>
    <row r="56" spans="1:7" ht="15.6" customHeight="1">
      <c r="B56" s="105"/>
      <c r="C56" s="105" t="s">
        <v>40</v>
      </c>
      <c r="D56" s="98">
        <v>53</v>
      </c>
      <c r="E56" s="98">
        <v>38</v>
      </c>
      <c r="F56" s="98">
        <v>15</v>
      </c>
      <c r="G56" s="106"/>
    </row>
    <row r="57" spans="1:7" ht="15.6" customHeight="1" thickBot="1">
      <c r="B57" s="124"/>
      <c r="C57" s="124" t="s">
        <v>119</v>
      </c>
      <c r="D57" s="125">
        <v>3544</v>
      </c>
      <c r="E57" s="125">
        <v>3544</v>
      </c>
      <c r="F57" s="125">
        <v>0</v>
      </c>
      <c r="G57" s="126"/>
    </row>
    <row r="58" spans="1:7" s="13" customFormat="1" ht="3" customHeight="1">
      <c r="B58" s="127"/>
      <c r="C58" s="97"/>
      <c r="D58" s="128"/>
      <c r="E58" s="128"/>
      <c r="F58" s="128"/>
      <c r="G58" s="129"/>
    </row>
    <row r="59" spans="1:7" s="5" customFormat="1" ht="11.25" customHeight="1">
      <c r="B59" s="130" t="s">
        <v>100</v>
      </c>
      <c r="C59" s="131"/>
      <c r="D59" s="132"/>
      <c r="E59" s="132"/>
      <c r="F59" s="133"/>
      <c r="G59" s="80"/>
    </row>
    <row r="60" spans="1:7" s="4" customFormat="1" ht="11.25">
      <c r="B60" s="134" t="s">
        <v>101</v>
      </c>
      <c r="C60" s="135"/>
      <c r="D60" s="136"/>
      <c r="E60" s="136"/>
      <c r="F60" s="137"/>
      <c r="G60" s="138"/>
    </row>
    <row r="61" spans="1:7" s="4" customFormat="1" ht="11.25" customHeight="1">
      <c r="B61" s="134" t="s">
        <v>102</v>
      </c>
      <c r="C61" s="139"/>
      <c r="D61" s="136"/>
      <c r="E61" s="132"/>
      <c r="F61" s="140"/>
      <c r="G61" s="79"/>
    </row>
    <row r="62" spans="1:7" s="4" customFormat="1" ht="14.1" customHeight="1">
      <c r="B62" s="134" t="s">
        <v>103</v>
      </c>
      <c r="C62" s="139"/>
      <c r="D62" s="136"/>
      <c r="E62" s="132"/>
      <c r="F62" s="140"/>
      <c r="G62" s="79"/>
    </row>
    <row r="63" spans="1:7" s="4" customFormat="1" ht="14.1" customHeight="1">
      <c r="B63" s="134" t="s">
        <v>104</v>
      </c>
      <c r="C63" s="139"/>
      <c r="D63" s="136"/>
      <c r="E63" s="132"/>
      <c r="F63" s="140"/>
      <c r="G63" s="79"/>
    </row>
    <row r="64" spans="1:7" s="17" customFormat="1" ht="17.100000000000001" customHeight="1">
      <c r="A64" s="4"/>
      <c r="B64" s="3"/>
      <c r="C64" s="16"/>
      <c r="D64" s="15"/>
      <c r="E64" s="14"/>
      <c r="F64" s="15"/>
      <c r="G64" s="4"/>
    </row>
    <row r="65" spans="4:6" ht="17.100000000000001" customHeight="1">
      <c r="D65" s="18"/>
      <c r="E65" s="19"/>
      <c r="F65" s="18"/>
    </row>
    <row r="66" spans="4:6" ht="17.100000000000001" customHeight="1">
      <c r="D66" s="18"/>
      <c r="E66" s="19"/>
      <c r="F66" s="18"/>
    </row>
  </sheetData>
  <mergeCells count="2">
    <mergeCell ref="B1:G1"/>
    <mergeCell ref="B2:G2"/>
  </mergeCells>
  <phoneticPr fontId="17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75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66"/>
  <sheetViews>
    <sheetView showGridLines="0" zoomScale="85" zoomScaleNormal="85" workbookViewId="0">
      <selection activeCell="E11" sqref="E11"/>
    </sheetView>
  </sheetViews>
  <sheetFormatPr defaultColWidth="1.7109375" defaultRowHeight="17.100000000000001" customHeight="1"/>
  <cols>
    <col min="1" max="1" width="2.28515625" style="10" customWidth="1"/>
    <col min="2" max="2" width="2.28515625" style="20" customWidth="1"/>
    <col min="3" max="3" width="29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2.28515625" style="10" customWidth="1"/>
    <col min="8" max="255" width="9.140625" style="9" customWidth="1"/>
    <col min="256" max="16384" width="1.7109375" style="9"/>
  </cols>
  <sheetData>
    <row r="1" spans="2:7" s="1" customFormat="1" ht="21.95" customHeight="1">
      <c r="B1" s="249" t="s">
        <v>105</v>
      </c>
      <c r="C1" s="249"/>
      <c r="D1" s="249"/>
      <c r="E1" s="249"/>
      <c r="F1" s="249"/>
      <c r="G1" s="249"/>
    </row>
    <row r="2" spans="2:7" s="2" customFormat="1" ht="15" customHeight="1">
      <c r="B2" s="250" t="s">
        <v>191</v>
      </c>
      <c r="C2" s="250"/>
      <c r="D2" s="250"/>
      <c r="E2" s="250"/>
      <c r="F2" s="250"/>
      <c r="G2" s="250"/>
    </row>
    <row r="3" spans="2:7" s="4" customFormat="1" ht="11.1" customHeight="1" thickBot="1">
      <c r="B3" s="77"/>
      <c r="C3" s="78"/>
      <c r="D3" s="79"/>
      <c r="E3" s="80"/>
      <c r="F3" s="81" t="s">
        <v>54</v>
      </c>
      <c r="G3" s="81"/>
    </row>
    <row r="4" spans="2:7" s="6" customFormat="1" ht="15.6" customHeight="1">
      <c r="B4" s="82"/>
      <c r="C4" s="83" t="s">
        <v>95</v>
      </c>
      <c r="D4" s="84" t="s">
        <v>55</v>
      </c>
      <c r="E4" s="84" t="s">
        <v>56</v>
      </c>
      <c r="F4" s="84" t="s">
        <v>57</v>
      </c>
      <c r="G4" s="85"/>
    </row>
    <row r="5" spans="2:7" s="7" customFormat="1" ht="20.100000000000001" customHeight="1">
      <c r="B5" s="86"/>
      <c r="C5" s="87" t="s">
        <v>106</v>
      </c>
      <c r="D5" s="88">
        <f>SUM(D7,D11,D15,D21,D22,D23,D24,D28,D31,D32,D33,D38,D43,D47,D48,D49,D53,D57)</f>
        <v>33878</v>
      </c>
      <c r="E5" s="88">
        <f t="shared" ref="E5:F5" si="0">SUM(E7,E11,E15,E21,E22,E23,E24,E28,E31,E32,E33,E38,E43,E47,E48,E49,E53,E57)</f>
        <v>21934</v>
      </c>
      <c r="F5" s="88">
        <f t="shared" si="0"/>
        <v>11944</v>
      </c>
      <c r="G5" s="89"/>
    </row>
    <row r="6" spans="2:7" s="8" customFormat="1" ht="15" customHeight="1" thickBot="1">
      <c r="B6" s="90"/>
      <c r="C6" s="91" t="s">
        <v>107</v>
      </c>
      <c r="D6" s="92">
        <v>-2827</v>
      </c>
      <c r="E6" s="92">
        <v>-1663</v>
      </c>
      <c r="F6" s="92">
        <v>-1164</v>
      </c>
      <c r="G6" s="93"/>
    </row>
    <row r="7" spans="2:7" ht="15.6" customHeight="1" thickTop="1">
      <c r="B7" s="94"/>
      <c r="C7" s="94" t="s">
        <v>108</v>
      </c>
      <c r="D7" s="231">
        <v>27</v>
      </c>
      <c r="E7" s="231">
        <v>0</v>
      </c>
      <c r="F7" s="231">
        <v>27</v>
      </c>
      <c r="G7" s="96"/>
    </row>
    <row r="8" spans="2:7" ht="15.6" customHeight="1">
      <c r="B8" s="97"/>
      <c r="C8" s="97" t="s">
        <v>0</v>
      </c>
      <c r="D8" s="232">
        <v>23</v>
      </c>
      <c r="E8" s="232">
        <v>0</v>
      </c>
      <c r="F8" s="232">
        <v>23</v>
      </c>
      <c r="G8" s="99"/>
    </row>
    <row r="9" spans="2:7" ht="15.6" customHeight="1">
      <c r="B9" s="97"/>
      <c r="C9" s="97" t="s">
        <v>1</v>
      </c>
      <c r="D9" s="232">
        <v>1</v>
      </c>
      <c r="E9" s="232">
        <v>0</v>
      </c>
      <c r="F9" s="232">
        <v>1</v>
      </c>
      <c r="G9" s="99"/>
    </row>
    <row r="10" spans="2:7" ht="15.6" customHeight="1">
      <c r="B10" s="97"/>
      <c r="C10" s="97" t="s">
        <v>2</v>
      </c>
      <c r="D10" s="232">
        <v>3</v>
      </c>
      <c r="E10" s="232">
        <v>0</v>
      </c>
      <c r="F10" s="232">
        <v>3</v>
      </c>
      <c r="G10" s="100"/>
    </row>
    <row r="11" spans="2:7" ht="15.6" customHeight="1">
      <c r="B11" s="101"/>
      <c r="C11" s="101" t="s">
        <v>3</v>
      </c>
      <c r="D11" s="245">
        <v>216</v>
      </c>
      <c r="E11" s="234">
        <v>0</v>
      </c>
      <c r="F11" s="234">
        <v>216</v>
      </c>
      <c r="G11" s="104"/>
    </row>
    <row r="12" spans="2:7" ht="15.6" customHeight="1">
      <c r="B12" s="97"/>
      <c r="C12" s="97" t="s">
        <v>0</v>
      </c>
      <c r="D12" s="232">
        <v>89</v>
      </c>
      <c r="E12" s="232">
        <v>0</v>
      </c>
      <c r="F12" s="232">
        <v>89</v>
      </c>
      <c r="G12" s="99"/>
    </row>
    <row r="13" spans="2:7" ht="15.6" customHeight="1">
      <c r="B13" s="97"/>
      <c r="C13" s="97" t="s">
        <v>1</v>
      </c>
      <c r="D13" s="232">
        <v>24</v>
      </c>
      <c r="E13" s="232">
        <v>0</v>
      </c>
      <c r="F13" s="232">
        <v>24</v>
      </c>
      <c r="G13" s="99"/>
    </row>
    <row r="14" spans="2:7" ht="15.6" customHeight="1">
      <c r="B14" s="105"/>
      <c r="C14" s="105" t="s">
        <v>2</v>
      </c>
      <c r="D14" s="232">
        <v>103</v>
      </c>
      <c r="E14" s="232">
        <v>0</v>
      </c>
      <c r="F14" s="232">
        <v>103</v>
      </c>
      <c r="G14" s="106"/>
    </row>
    <row r="15" spans="2:7" ht="15.6" customHeight="1">
      <c r="B15" s="107"/>
      <c r="C15" s="107" t="s">
        <v>109</v>
      </c>
      <c r="D15" s="237">
        <v>13303</v>
      </c>
      <c r="E15" s="238">
        <v>5054</v>
      </c>
      <c r="F15" s="238">
        <v>8249</v>
      </c>
      <c r="G15" s="110"/>
    </row>
    <row r="16" spans="2:7" ht="15.6" customHeight="1">
      <c r="B16" s="97"/>
      <c r="C16" s="97" t="s">
        <v>4</v>
      </c>
      <c r="D16" s="236">
        <v>1564</v>
      </c>
      <c r="E16" s="232">
        <v>0</v>
      </c>
      <c r="F16" s="236">
        <v>1564</v>
      </c>
      <c r="G16" s="99"/>
    </row>
    <row r="17" spans="1:7" ht="15.6" customHeight="1">
      <c r="B17" s="97"/>
      <c r="C17" s="97" t="s">
        <v>5</v>
      </c>
      <c r="D17" s="236">
        <v>7876</v>
      </c>
      <c r="E17" s="236">
        <v>2851</v>
      </c>
      <c r="F17" s="236">
        <v>5025</v>
      </c>
      <c r="G17" s="99"/>
    </row>
    <row r="18" spans="1:7" ht="15.6" customHeight="1">
      <c r="B18" s="97"/>
      <c r="C18" s="97" t="s">
        <v>6</v>
      </c>
      <c r="D18" s="232">
        <v>654</v>
      </c>
      <c r="E18" s="232">
        <v>0</v>
      </c>
      <c r="F18" s="232">
        <v>654</v>
      </c>
      <c r="G18" s="99"/>
    </row>
    <row r="19" spans="1:7" ht="15.6" customHeight="1">
      <c r="B19" s="97"/>
      <c r="C19" s="97" t="s">
        <v>7</v>
      </c>
      <c r="D19" s="236">
        <v>3209</v>
      </c>
      <c r="E19" s="236">
        <v>2203</v>
      </c>
      <c r="F19" s="236">
        <v>1006</v>
      </c>
      <c r="G19" s="99"/>
    </row>
    <row r="20" spans="1:7" s="12" customFormat="1" ht="12">
      <c r="A20" s="11"/>
      <c r="B20" s="111"/>
      <c r="C20" s="111" t="s">
        <v>110</v>
      </c>
      <c r="D20" s="198">
        <v>-2827</v>
      </c>
      <c r="E20" s="198">
        <v>-1663</v>
      </c>
      <c r="F20" s="198">
        <v>-1164</v>
      </c>
      <c r="G20" s="113"/>
    </row>
    <row r="21" spans="1:7" ht="15.6" customHeight="1">
      <c r="B21" s="114"/>
      <c r="C21" s="114" t="s">
        <v>8</v>
      </c>
      <c r="D21" s="239">
        <v>2743</v>
      </c>
      <c r="E21" s="240">
        <v>339</v>
      </c>
      <c r="F21" s="239">
        <v>2404</v>
      </c>
      <c r="G21" s="116"/>
    </row>
    <row r="22" spans="1:7" ht="15.6" customHeight="1">
      <c r="B22" s="114"/>
      <c r="C22" s="114" t="s">
        <v>9</v>
      </c>
      <c r="D22" s="239">
        <v>1030</v>
      </c>
      <c r="E22" s="239">
        <v>945</v>
      </c>
      <c r="F22" s="240">
        <v>85</v>
      </c>
      <c r="G22" s="116"/>
    </row>
    <row r="23" spans="1:7" ht="15.6" customHeight="1">
      <c r="B23" s="114"/>
      <c r="C23" s="114" t="s">
        <v>26</v>
      </c>
      <c r="D23" s="240">
        <v>0</v>
      </c>
      <c r="E23" s="240">
        <v>0</v>
      </c>
      <c r="F23" s="240">
        <v>0</v>
      </c>
      <c r="G23" s="116"/>
    </row>
    <row r="24" spans="1:7" ht="15.6" customHeight="1">
      <c r="B24" s="107"/>
      <c r="C24" s="107" t="s">
        <v>10</v>
      </c>
      <c r="D24" s="241">
        <v>12</v>
      </c>
      <c r="E24" s="242">
        <v>6</v>
      </c>
      <c r="F24" s="242">
        <v>6</v>
      </c>
      <c r="G24" s="110"/>
    </row>
    <row r="25" spans="1:7" ht="15.6" customHeight="1">
      <c r="A25" s="13"/>
      <c r="B25" s="117"/>
      <c r="C25" s="117" t="s">
        <v>111</v>
      </c>
      <c r="D25" s="232">
        <v>1</v>
      </c>
      <c r="E25" s="232">
        <v>0</v>
      </c>
      <c r="F25" s="232">
        <v>1</v>
      </c>
      <c r="G25" s="99"/>
    </row>
    <row r="26" spans="1:7" ht="15.6" customHeight="1">
      <c r="A26" s="13"/>
      <c r="B26" s="117"/>
      <c r="C26" s="117" t="s">
        <v>112</v>
      </c>
      <c r="D26" s="232">
        <v>3</v>
      </c>
      <c r="E26" s="232">
        <v>1</v>
      </c>
      <c r="F26" s="232">
        <v>2</v>
      </c>
      <c r="G26" s="99"/>
    </row>
    <row r="27" spans="1:7" ht="15.6" customHeight="1">
      <c r="A27" s="13"/>
      <c r="B27" s="118"/>
      <c r="C27" s="118" t="s">
        <v>113</v>
      </c>
      <c r="D27" s="232">
        <v>8</v>
      </c>
      <c r="E27" s="232">
        <v>5</v>
      </c>
      <c r="F27" s="232">
        <v>3</v>
      </c>
      <c r="G27" s="106"/>
    </row>
    <row r="28" spans="1:7" ht="15.6" customHeight="1">
      <c r="B28" s="107"/>
      <c r="C28" s="107" t="s">
        <v>167</v>
      </c>
      <c r="D28" s="241">
        <v>772</v>
      </c>
      <c r="E28" s="242">
        <v>208</v>
      </c>
      <c r="F28" s="242">
        <v>564</v>
      </c>
      <c r="G28" s="110"/>
    </row>
    <row r="29" spans="1:7" ht="15.6" customHeight="1">
      <c r="B29" s="117"/>
      <c r="C29" s="117" t="s">
        <v>11</v>
      </c>
      <c r="D29" s="232">
        <v>410</v>
      </c>
      <c r="E29" s="232">
        <v>0</v>
      </c>
      <c r="F29" s="232">
        <v>410</v>
      </c>
      <c r="G29" s="99"/>
    </row>
    <row r="30" spans="1:7" ht="15.6" customHeight="1">
      <c r="B30" s="119"/>
      <c r="C30" s="119" t="s">
        <v>12</v>
      </c>
      <c r="D30" s="232">
        <v>362</v>
      </c>
      <c r="E30" s="232">
        <v>208</v>
      </c>
      <c r="F30" s="232">
        <v>154</v>
      </c>
      <c r="G30" s="106"/>
    </row>
    <row r="31" spans="1:7" ht="15.6" customHeight="1">
      <c r="B31" s="120"/>
      <c r="C31" s="120" t="s">
        <v>30</v>
      </c>
      <c r="D31" s="240">
        <v>0</v>
      </c>
      <c r="E31" s="240">
        <v>0</v>
      </c>
      <c r="F31" s="240">
        <v>0</v>
      </c>
      <c r="G31" s="116"/>
    </row>
    <row r="32" spans="1:7" ht="15.6" customHeight="1">
      <c r="B32" s="120"/>
      <c r="C32" s="120" t="s">
        <v>13</v>
      </c>
      <c r="D32" s="240">
        <v>17</v>
      </c>
      <c r="E32" s="240">
        <v>1</v>
      </c>
      <c r="F32" s="240">
        <v>16</v>
      </c>
      <c r="G32" s="116"/>
    </row>
    <row r="33" spans="1:7" ht="15.6" customHeight="1">
      <c r="A33" s="13"/>
      <c r="B33" s="107"/>
      <c r="C33" s="107" t="s">
        <v>14</v>
      </c>
      <c r="D33" s="241">
        <v>138</v>
      </c>
      <c r="E33" s="242">
        <v>102</v>
      </c>
      <c r="F33" s="242">
        <v>36</v>
      </c>
      <c r="G33" s="110"/>
    </row>
    <row r="34" spans="1:7" ht="15.6" customHeight="1">
      <c r="B34" s="117"/>
      <c r="C34" s="117" t="s">
        <v>32</v>
      </c>
      <c r="D34" s="232">
        <v>11</v>
      </c>
      <c r="E34" s="232">
        <v>0</v>
      </c>
      <c r="F34" s="232">
        <v>11</v>
      </c>
      <c r="G34" s="99"/>
    </row>
    <row r="35" spans="1:7" ht="15.6" customHeight="1">
      <c r="B35" s="117"/>
      <c r="C35" s="117" t="s">
        <v>33</v>
      </c>
      <c r="D35" s="232">
        <v>74</v>
      </c>
      <c r="E35" s="232">
        <v>66</v>
      </c>
      <c r="F35" s="232">
        <v>8</v>
      </c>
      <c r="G35" s="99"/>
    </row>
    <row r="36" spans="1:7" ht="15.6" customHeight="1">
      <c r="B36" s="117"/>
      <c r="C36" s="117" t="s">
        <v>34</v>
      </c>
      <c r="D36" s="232">
        <v>9</v>
      </c>
      <c r="E36" s="232">
        <v>0</v>
      </c>
      <c r="F36" s="232">
        <v>9</v>
      </c>
      <c r="G36" s="99"/>
    </row>
    <row r="37" spans="1:7" ht="15.6" customHeight="1">
      <c r="B37" s="118"/>
      <c r="C37" s="118" t="s">
        <v>35</v>
      </c>
      <c r="D37" s="232">
        <v>44</v>
      </c>
      <c r="E37" s="232">
        <v>36</v>
      </c>
      <c r="F37" s="232">
        <v>8</v>
      </c>
      <c r="G37" s="106"/>
    </row>
    <row r="38" spans="1:7" ht="15.6" customHeight="1">
      <c r="A38" s="13"/>
      <c r="B38" s="107"/>
      <c r="C38" s="107" t="s">
        <v>114</v>
      </c>
      <c r="D38" s="241">
        <v>395</v>
      </c>
      <c r="E38" s="242">
        <v>253</v>
      </c>
      <c r="F38" s="242">
        <v>142</v>
      </c>
      <c r="G38" s="110"/>
    </row>
    <row r="39" spans="1:7" ht="15.6" customHeight="1">
      <c r="B39" s="121"/>
      <c r="C39" s="121" t="s">
        <v>115</v>
      </c>
      <c r="D39" s="232">
        <v>84</v>
      </c>
      <c r="E39" s="232">
        <v>0</v>
      </c>
      <c r="F39" s="232">
        <v>84</v>
      </c>
      <c r="G39" s="123"/>
    </row>
    <row r="40" spans="1:7" ht="15.6" customHeight="1">
      <c r="B40" s="117"/>
      <c r="C40" s="117" t="s">
        <v>49</v>
      </c>
      <c r="D40" s="232">
        <v>278</v>
      </c>
      <c r="E40" s="232">
        <v>244</v>
      </c>
      <c r="F40" s="232">
        <v>34</v>
      </c>
      <c r="G40" s="99"/>
    </row>
    <row r="41" spans="1:7" ht="15.6" customHeight="1">
      <c r="B41" s="117"/>
      <c r="C41" s="117" t="s">
        <v>116</v>
      </c>
      <c r="D41" s="232">
        <v>22</v>
      </c>
      <c r="E41" s="232">
        <v>0</v>
      </c>
      <c r="F41" s="232">
        <v>22</v>
      </c>
      <c r="G41" s="99"/>
    </row>
    <row r="42" spans="1:7" ht="15.6" customHeight="1">
      <c r="B42" s="118"/>
      <c r="C42" s="118" t="s">
        <v>51</v>
      </c>
      <c r="D42" s="232">
        <v>11</v>
      </c>
      <c r="E42" s="232">
        <v>9</v>
      </c>
      <c r="F42" s="232">
        <v>2</v>
      </c>
      <c r="G42" s="106"/>
    </row>
    <row r="43" spans="1:7" ht="15.6" customHeight="1">
      <c r="B43" s="107"/>
      <c r="C43" s="107" t="s">
        <v>15</v>
      </c>
      <c r="D43" s="237">
        <v>7814</v>
      </c>
      <c r="E43" s="238">
        <v>7814</v>
      </c>
      <c r="F43" s="242">
        <v>0</v>
      </c>
      <c r="G43" s="110"/>
    </row>
    <row r="44" spans="1:7" ht="15.6" customHeight="1">
      <c r="B44" s="117"/>
      <c r="C44" s="117" t="s">
        <v>153</v>
      </c>
      <c r="D44" s="236">
        <v>974</v>
      </c>
      <c r="E44" s="236">
        <v>974</v>
      </c>
      <c r="F44" s="232">
        <v>0</v>
      </c>
      <c r="G44" s="99"/>
    </row>
    <row r="45" spans="1:7" ht="15.6" customHeight="1">
      <c r="B45" s="117"/>
      <c r="C45" s="117" t="s">
        <v>37</v>
      </c>
      <c r="D45" s="236">
        <v>6838</v>
      </c>
      <c r="E45" s="236">
        <v>6838</v>
      </c>
      <c r="F45" s="232">
        <v>0</v>
      </c>
      <c r="G45" s="99"/>
    </row>
    <row r="46" spans="1:7" ht="15.6" customHeight="1">
      <c r="B46" s="118"/>
      <c r="C46" s="118" t="s">
        <v>155</v>
      </c>
      <c r="D46" s="232">
        <v>2</v>
      </c>
      <c r="E46" s="232">
        <v>2</v>
      </c>
      <c r="F46" s="232">
        <v>0</v>
      </c>
      <c r="G46" s="106"/>
    </row>
    <row r="47" spans="1:7" ht="15.6" customHeight="1">
      <c r="A47" s="13"/>
      <c r="B47" s="114"/>
      <c r="C47" s="114" t="s">
        <v>52</v>
      </c>
      <c r="D47" s="239">
        <v>2835</v>
      </c>
      <c r="E47" s="239">
        <v>2835</v>
      </c>
      <c r="F47" s="240">
        <v>0</v>
      </c>
      <c r="G47" s="116"/>
    </row>
    <row r="48" spans="1:7" ht="15.6" customHeight="1">
      <c r="A48" s="13"/>
      <c r="B48" s="114"/>
      <c r="C48" s="114" t="s">
        <v>117</v>
      </c>
      <c r="D48" s="240">
        <v>6</v>
      </c>
      <c r="E48" s="240">
        <v>6</v>
      </c>
      <c r="F48" s="240">
        <v>0</v>
      </c>
      <c r="G48" s="116"/>
    </row>
    <row r="49" spans="1:7" ht="15.6" customHeight="1">
      <c r="A49" s="13"/>
      <c r="B49" s="107"/>
      <c r="C49" s="107" t="s">
        <v>16</v>
      </c>
      <c r="D49" s="241">
        <v>770</v>
      </c>
      <c r="E49" s="242">
        <v>588</v>
      </c>
      <c r="F49" s="242">
        <v>182</v>
      </c>
      <c r="G49" s="110"/>
    </row>
    <row r="50" spans="1:7" ht="15.6" customHeight="1">
      <c r="B50" s="97"/>
      <c r="C50" s="97" t="s">
        <v>158</v>
      </c>
      <c r="D50" s="232">
        <v>33</v>
      </c>
      <c r="E50" s="232">
        <v>0</v>
      </c>
      <c r="F50" s="232">
        <v>33</v>
      </c>
      <c r="G50" s="99"/>
    </row>
    <row r="51" spans="1:7" ht="15.6" customHeight="1">
      <c r="B51" s="97"/>
      <c r="C51" s="97" t="s">
        <v>118</v>
      </c>
      <c r="D51" s="232">
        <v>481</v>
      </c>
      <c r="E51" s="232">
        <v>373</v>
      </c>
      <c r="F51" s="232">
        <v>108</v>
      </c>
      <c r="G51" s="99"/>
    </row>
    <row r="52" spans="1:7" ht="15.6" customHeight="1">
      <c r="B52" s="105"/>
      <c r="C52" s="105" t="s">
        <v>142</v>
      </c>
      <c r="D52" s="232">
        <v>256</v>
      </c>
      <c r="E52" s="232">
        <v>215</v>
      </c>
      <c r="F52" s="232">
        <v>41</v>
      </c>
      <c r="G52" s="106"/>
    </row>
    <row r="53" spans="1:7" ht="15.6" customHeight="1">
      <c r="A53" s="13"/>
      <c r="B53" s="107"/>
      <c r="C53" s="107" t="s">
        <v>17</v>
      </c>
      <c r="D53" s="241">
        <v>122</v>
      </c>
      <c r="E53" s="242">
        <v>105</v>
      </c>
      <c r="F53" s="242">
        <v>17</v>
      </c>
      <c r="G53" s="110"/>
    </row>
    <row r="54" spans="1:7" ht="15.6" customHeight="1">
      <c r="B54" s="97"/>
      <c r="C54" s="97" t="s">
        <v>160</v>
      </c>
      <c r="D54" s="232">
        <v>0</v>
      </c>
      <c r="E54" s="232">
        <v>0</v>
      </c>
      <c r="F54" s="232">
        <v>0</v>
      </c>
      <c r="G54" s="99"/>
    </row>
    <row r="55" spans="1:7" ht="15.6" customHeight="1">
      <c r="B55" s="97"/>
      <c r="C55" s="97" t="s">
        <v>39</v>
      </c>
      <c r="D55" s="232">
        <v>54</v>
      </c>
      <c r="E55" s="232">
        <v>50</v>
      </c>
      <c r="F55" s="232">
        <v>4</v>
      </c>
      <c r="G55" s="99"/>
    </row>
    <row r="56" spans="1:7" ht="15.6" customHeight="1">
      <c r="B56" s="105"/>
      <c r="C56" s="105" t="s">
        <v>40</v>
      </c>
      <c r="D56" s="232">
        <v>68</v>
      </c>
      <c r="E56" s="232">
        <v>55</v>
      </c>
      <c r="F56" s="232">
        <v>13</v>
      </c>
      <c r="G56" s="106"/>
    </row>
    <row r="57" spans="1:7" ht="15.6" customHeight="1" thickBot="1">
      <c r="B57" s="124"/>
      <c r="C57" s="124" t="s">
        <v>119</v>
      </c>
      <c r="D57" s="243">
        <v>3678</v>
      </c>
      <c r="E57" s="243">
        <v>3678</v>
      </c>
      <c r="F57" s="244">
        <v>0</v>
      </c>
      <c r="G57" s="126"/>
    </row>
    <row r="58" spans="1:7" s="13" customFormat="1" ht="3" customHeight="1">
      <c r="B58" s="127"/>
      <c r="C58" s="97"/>
      <c r="D58" s="128"/>
      <c r="E58" s="128"/>
      <c r="F58" s="128"/>
      <c r="G58" s="129"/>
    </row>
    <row r="59" spans="1:7" s="5" customFormat="1" ht="11.25" customHeight="1">
      <c r="B59" s="130" t="s">
        <v>100</v>
      </c>
      <c r="C59" s="131"/>
      <c r="D59" s="132"/>
      <c r="E59" s="132"/>
      <c r="F59" s="133"/>
      <c r="G59" s="80"/>
    </row>
    <row r="60" spans="1:7" s="4" customFormat="1" ht="11.25">
      <c r="B60" s="134" t="s">
        <v>101</v>
      </c>
      <c r="C60" s="135"/>
      <c r="D60" s="136"/>
      <c r="E60" s="136"/>
      <c r="F60" s="137"/>
      <c r="G60" s="138"/>
    </row>
    <row r="61" spans="1:7" s="4" customFormat="1" ht="11.25" customHeight="1">
      <c r="B61" s="134" t="s">
        <v>102</v>
      </c>
      <c r="C61" s="139"/>
      <c r="D61" s="136"/>
      <c r="E61" s="132"/>
      <c r="F61" s="140"/>
      <c r="G61" s="79"/>
    </row>
    <row r="62" spans="1:7" s="4" customFormat="1" ht="14.1" customHeight="1">
      <c r="B62" s="134" t="s">
        <v>103</v>
      </c>
      <c r="C62" s="139"/>
      <c r="D62" s="136"/>
      <c r="E62" s="132"/>
      <c r="F62" s="140"/>
      <c r="G62" s="79"/>
    </row>
    <row r="63" spans="1:7" s="4" customFormat="1" ht="14.1" customHeight="1">
      <c r="B63" s="134" t="s">
        <v>104</v>
      </c>
      <c r="C63" s="139"/>
      <c r="D63" s="136"/>
      <c r="E63" s="132"/>
      <c r="F63" s="140"/>
      <c r="G63" s="79"/>
    </row>
    <row r="64" spans="1:7" s="17" customFormat="1" ht="17.100000000000001" customHeight="1">
      <c r="A64" s="4"/>
      <c r="B64" s="3"/>
      <c r="C64" s="16"/>
      <c r="D64" s="15"/>
      <c r="E64" s="14"/>
      <c r="F64" s="15"/>
      <c r="G64" s="4"/>
    </row>
    <row r="65" spans="4:6" ht="17.100000000000001" customHeight="1">
      <c r="D65" s="18"/>
      <c r="E65" s="19"/>
      <c r="F65" s="18"/>
    </row>
    <row r="66" spans="4:6" ht="17.100000000000001" customHeight="1">
      <c r="D66" s="18"/>
      <c r="E66" s="19"/>
      <c r="F66" s="18"/>
    </row>
  </sheetData>
  <mergeCells count="2">
    <mergeCell ref="B1:G1"/>
    <mergeCell ref="B2:G2"/>
  </mergeCells>
  <phoneticPr fontId="17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75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66"/>
  <sheetViews>
    <sheetView showGridLines="0" zoomScale="85" zoomScaleNormal="85" workbookViewId="0">
      <selection activeCell="E14" sqref="E14"/>
    </sheetView>
  </sheetViews>
  <sheetFormatPr defaultColWidth="1.7109375" defaultRowHeight="17.100000000000001" customHeight="1"/>
  <cols>
    <col min="1" max="1" width="2.28515625" style="10" customWidth="1"/>
    <col min="2" max="2" width="2.28515625" style="20" customWidth="1"/>
    <col min="3" max="3" width="29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2.28515625" style="10" customWidth="1"/>
    <col min="8" max="255" width="9.140625" style="9" customWidth="1"/>
    <col min="256" max="16384" width="1.7109375" style="9"/>
  </cols>
  <sheetData>
    <row r="1" spans="2:7" s="1" customFormat="1" ht="21.95" customHeight="1">
      <c r="B1" s="249" t="s">
        <v>105</v>
      </c>
      <c r="C1" s="249"/>
      <c r="D1" s="249"/>
      <c r="E1" s="249"/>
      <c r="F1" s="249"/>
      <c r="G1" s="249"/>
    </row>
    <row r="2" spans="2:7" s="2" customFormat="1" ht="15" customHeight="1">
      <c r="B2" s="250" t="s">
        <v>192</v>
      </c>
      <c r="C2" s="250"/>
      <c r="D2" s="250"/>
      <c r="E2" s="250"/>
      <c r="F2" s="250"/>
      <c r="G2" s="250"/>
    </row>
    <row r="3" spans="2:7" s="4" customFormat="1" ht="11.1" customHeight="1" thickBot="1">
      <c r="B3" s="77"/>
      <c r="C3" s="78"/>
      <c r="D3" s="79"/>
      <c r="E3" s="80"/>
      <c r="F3" s="81" t="s">
        <v>54</v>
      </c>
      <c r="G3" s="81"/>
    </row>
    <row r="4" spans="2:7" s="6" customFormat="1" ht="15.6" customHeight="1">
      <c r="B4" s="82"/>
      <c r="C4" s="83" t="s">
        <v>95</v>
      </c>
      <c r="D4" s="84" t="s">
        <v>55</v>
      </c>
      <c r="E4" s="84" t="s">
        <v>56</v>
      </c>
      <c r="F4" s="84" t="s">
        <v>57</v>
      </c>
      <c r="G4" s="85"/>
    </row>
    <row r="5" spans="2:7" s="7" customFormat="1" ht="20.100000000000001" customHeight="1">
      <c r="B5" s="86"/>
      <c r="C5" s="87" t="s">
        <v>106</v>
      </c>
      <c r="D5" s="88">
        <f>SUM(D7,D11,D15,D21,D22,D23,D24,D28,D31,D32,D33,D38,D43,D47,D48,D49,D53,D57)</f>
        <v>50300</v>
      </c>
      <c r="E5" s="88">
        <f t="shared" ref="E5:F5" si="0">SUM(E7,E11,E15,E21,E22,E23,E24,E28,E31,E32,E33,E38,E43,E47,E48,E49,E53,E57)</f>
        <v>30473</v>
      </c>
      <c r="F5" s="88">
        <f t="shared" si="0"/>
        <v>19827</v>
      </c>
      <c r="G5" s="89"/>
    </row>
    <row r="6" spans="2:7" s="8" customFormat="1" ht="15" customHeight="1" thickBot="1">
      <c r="B6" s="90"/>
      <c r="C6" s="91" t="s">
        <v>107</v>
      </c>
      <c r="D6" s="92">
        <v>-4541</v>
      </c>
      <c r="E6" s="92">
        <v>-2598</v>
      </c>
      <c r="F6" s="92">
        <v>-1943</v>
      </c>
      <c r="G6" s="93"/>
    </row>
    <row r="7" spans="2:7" ht="15.6" customHeight="1" thickTop="1">
      <c r="B7" s="94"/>
      <c r="C7" s="94" t="s">
        <v>108</v>
      </c>
      <c r="D7" s="95">
        <v>53</v>
      </c>
      <c r="E7" s="95">
        <v>0</v>
      </c>
      <c r="F7" s="95">
        <v>53</v>
      </c>
      <c r="G7" s="96"/>
    </row>
    <row r="8" spans="2:7" ht="15.6" customHeight="1">
      <c r="B8" s="97"/>
      <c r="C8" s="97" t="s">
        <v>0</v>
      </c>
      <c r="D8" s="98">
        <v>51</v>
      </c>
      <c r="E8" s="98">
        <v>0</v>
      </c>
      <c r="F8" s="98">
        <v>51</v>
      </c>
      <c r="G8" s="99"/>
    </row>
    <row r="9" spans="2:7" ht="15.6" customHeight="1">
      <c r="B9" s="97"/>
      <c r="C9" s="97" t="s">
        <v>1</v>
      </c>
      <c r="D9" s="98">
        <v>1</v>
      </c>
      <c r="E9" s="98">
        <v>0</v>
      </c>
      <c r="F9" s="98">
        <v>1</v>
      </c>
      <c r="G9" s="99"/>
    </row>
    <row r="10" spans="2:7" ht="15.6" customHeight="1">
      <c r="B10" s="97"/>
      <c r="C10" s="97" t="s">
        <v>2</v>
      </c>
      <c r="D10" s="98">
        <v>1</v>
      </c>
      <c r="E10" s="98">
        <v>0</v>
      </c>
      <c r="F10" s="98">
        <v>1</v>
      </c>
      <c r="G10" s="100"/>
    </row>
    <row r="11" spans="2:7" ht="15.6" customHeight="1">
      <c r="B11" s="101"/>
      <c r="C11" s="101" t="s">
        <v>3</v>
      </c>
      <c r="D11" s="102">
        <v>459</v>
      </c>
      <c r="E11" s="103">
        <v>0</v>
      </c>
      <c r="F11" s="103">
        <v>459</v>
      </c>
      <c r="G11" s="104"/>
    </row>
    <row r="12" spans="2:7" ht="15.6" customHeight="1">
      <c r="B12" s="97"/>
      <c r="C12" s="97" t="s">
        <v>0</v>
      </c>
      <c r="D12" s="98">
        <v>228</v>
      </c>
      <c r="E12" s="98">
        <v>0</v>
      </c>
      <c r="F12" s="98">
        <v>228</v>
      </c>
      <c r="G12" s="99"/>
    </row>
    <row r="13" spans="2:7" ht="15.6" customHeight="1">
      <c r="B13" s="97"/>
      <c r="C13" s="97" t="s">
        <v>1</v>
      </c>
      <c r="D13" s="98">
        <v>62</v>
      </c>
      <c r="E13" s="98">
        <v>0</v>
      </c>
      <c r="F13" s="98">
        <v>62</v>
      </c>
      <c r="G13" s="99"/>
    </row>
    <row r="14" spans="2:7" ht="15.6" customHeight="1">
      <c r="B14" s="105"/>
      <c r="C14" s="105" t="s">
        <v>2</v>
      </c>
      <c r="D14" s="98">
        <v>169</v>
      </c>
      <c r="E14" s="98">
        <v>0</v>
      </c>
      <c r="F14" s="98">
        <v>169</v>
      </c>
      <c r="G14" s="106"/>
    </row>
    <row r="15" spans="2:7" ht="15.6" customHeight="1">
      <c r="B15" s="107"/>
      <c r="C15" s="107" t="s">
        <v>109</v>
      </c>
      <c r="D15" s="108">
        <v>20074</v>
      </c>
      <c r="E15" s="109">
        <v>6690</v>
      </c>
      <c r="F15" s="109">
        <v>13384</v>
      </c>
      <c r="G15" s="110"/>
    </row>
    <row r="16" spans="2:7" ht="15.6" customHeight="1">
      <c r="B16" s="97"/>
      <c r="C16" s="97" t="s">
        <v>4</v>
      </c>
      <c r="D16" s="98">
        <v>2454</v>
      </c>
      <c r="E16" s="98">
        <v>0</v>
      </c>
      <c r="F16" s="98">
        <v>2454</v>
      </c>
      <c r="G16" s="99"/>
    </row>
    <row r="17" spans="1:7" ht="15.6" customHeight="1">
      <c r="B17" s="97"/>
      <c r="C17" s="97" t="s">
        <v>5</v>
      </c>
      <c r="D17" s="98">
        <v>12651</v>
      </c>
      <c r="E17" s="98">
        <v>3960</v>
      </c>
      <c r="F17" s="98">
        <v>8691</v>
      </c>
      <c r="G17" s="99"/>
    </row>
    <row r="18" spans="1:7" ht="15.6" customHeight="1">
      <c r="B18" s="97"/>
      <c r="C18" s="97" t="s">
        <v>6</v>
      </c>
      <c r="D18" s="98">
        <v>900</v>
      </c>
      <c r="E18" s="98">
        <v>0</v>
      </c>
      <c r="F18" s="98">
        <v>900</v>
      </c>
      <c r="G18" s="99"/>
    </row>
    <row r="19" spans="1:7" ht="15.6" customHeight="1">
      <c r="B19" s="97"/>
      <c r="C19" s="97" t="s">
        <v>7</v>
      </c>
      <c r="D19" s="98">
        <v>4069</v>
      </c>
      <c r="E19" s="98">
        <v>2730</v>
      </c>
      <c r="F19" s="98">
        <v>1339</v>
      </c>
      <c r="G19" s="99"/>
    </row>
    <row r="20" spans="1:7" s="12" customFormat="1" ht="12">
      <c r="A20" s="11"/>
      <c r="B20" s="111"/>
      <c r="C20" s="111" t="s">
        <v>110</v>
      </c>
      <c r="D20" s="112">
        <v>-4541</v>
      </c>
      <c r="E20" s="112">
        <v>-2598</v>
      </c>
      <c r="F20" s="112">
        <v>-1943</v>
      </c>
      <c r="G20" s="113"/>
    </row>
    <row r="21" spans="1:7" ht="15.6" customHeight="1">
      <c r="B21" s="114"/>
      <c r="C21" s="114" t="s">
        <v>8</v>
      </c>
      <c r="D21" s="115">
        <v>5127</v>
      </c>
      <c r="E21" s="115">
        <v>509</v>
      </c>
      <c r="F21" s="115">
        <v>4618</v>
      </c>
      <c r="G21" s="116"/>
    </row>
    <row r="22" spans="1:7" ht="15.6" customHeight="1">
      <c r="B22" s="114"/>
      <c r="C22" s="114" t="s">
        <v>9</v>
      </c>
      <c r="D22" s="115">
        <v>2452</v>
      </c>
      <c r="E22" s="115">
        <v>2189</v>
      </c>
      <c r="F22" s="115">
        <v>263</v>
      </c>
      <c r="G22" s="116"/>
    </row>
    <row r="23" spans="1:7" ht="15.6" customHeight="1">
      <c r="B23" s="114"/>
      <c r="C23" s="114" t="s">
        <v>26</v>
      </c>
      <c r="D23" s="115">
        <v>6</v>
      </c>
      <c r="E23" s="115">
        <v>0</v>
      </c>
      <c r="F23" s="115">
        <v>6</v>
      </c>
      <c r="G23" s="116"/>
    </row>
    <row r="24" spans="1:7" ht="15.6" customHeight="1">
      <c r="B24" s="107"/>
      <c r="C24" s="107" t="s">
        <v>10</v>
      </c>
      <c r="D24" s="108">
        <v>14</v>
      </c>
      <c r="E24" s="109">
        <v>5</v>
      </c>
      <c r="F24" s="109">
        <v>9</v>
      </c>
      <c r="G24" s="110"/>
    </row>
    <row r="25" spans="1:7" ht="15.6" customHeight="1">
      <c r="A25" s="13"/>
      <c r="B25" s="117"/>
      <c r="C25" s="117" t="s">
        <v>111</v>
      </c>
      <c r="D25" s="98">
        <v>1</v>
      </c>
      <c r="E25" s="98">
        <v>0</v>
      </c>
      <c r="F25" s="98">
        <v>1</v>
      </c>
      <c r="G25" s="99"/>
    </row>
    <row r="26" spans="1:7" ht="15.6" customHeight="1">
      <c r="A26" s="13"/>
      <c r="B26" s="117"/>
      <c r="C26" s="117" t="s">
        <v>112</v>
      </c>
      <c r="D26" s="98">
        <v>4</v>
      </c>
      <c r="E26" s="98">
        <v>0</v>
      </c>
      <c r="F26" s="98">
        <v>4</v>
      </c>
      <c r="G26" s="99"/>
    </row>
    <row r="27" spans="1:7" ht="15.6" customHeight="1">
      <c r="A27" s="13"/>
      <c r="B27" s="118"/>
      <c r="C27" s="118" t="s">
        <v>113</v>
      </c>
      <c r="D27" s="98">
        <v>9</v>
      </c>
      <c r="E27" s="98">
        <v>5</v>
      </c>
      <c r="F27" s="98">
        <v>4</v>
      </c>
      <c r="G27" s="106"/>
    </row>
    <row r="28" spans="1:7" ht="15.6" customHeight="1">
      <c r="B28" s="107"/>
      <c r="C28" s="107" t="s">
        <v>167</v>
      </c>
      <c r="D28" s="108">
        <v>985</v>
      </c>
      <c r="E28" s="109">
        <v>227</v>
      </c>
      <c r="F28" s="109">
        <v>758</v>
      </c>
      <c r="G28" s="110"/>
    </row>
    <row r="29" spans="1:7" ht="15.6" customHeight="1">
      <c r="B29" s="117"/>
      <c r="C29" s="117" t="s">
        <v>11</v>
      </c>
      <c r="D29" s="98">
        <v>542</v>
      </c>
      <c r="E29" s="98">
        <v>0</v>
      </c>
      <c r="F29" s="98">
        <v>542</v>
      </c>
      <c r="G29" s="99"/>
    </row>
    <row r="30" spans="1:7" ht="15.6" customHeight="1">
      <c r="B30" s="119"/>
      <c r="C30" s="119" t="s">
        <v>12</v>
      </c>
      <c r="D30" s="98">
        <v>443</v>
      </c>
      <c r="E30" s="98">
        <v>227</v>
      </c>
      <c r="F30" s="98">
        <v>216</v>
      </c>
      <c r="G30" s="106"/>
    </row>
    <row r="31" spans="1:7" ht="15.6" customHeight="1">
      <c r="B31" s="120"/>
      <c r="C31" s="120" t="s">
        <v>30</v>
      </c>
      <c r="D31" s="115">
        <v>0</v>
      </c>
      <c r="E31" s="115">
        <v>0</v>
      </c>
      <c r="F31" s="115">
        <v>0</v>
      </c>
      <c r="G31" s="116"/>
    </row>
    <row r="32" spans="1:7" ht="15.6" customHeight="1">
      <c r="B32" s="120"/>
      <c r="C32" s="120" t="s">
        <v>13</v>
      </c>
      <c r="D32" s="115">
        <v>11</v>
      </c>
      <c r="E32" s="115">
        <v>0</v>
      </c>
      <c r="F32" s="115">
        <v>11</v>
      </c>
      <c r="G32" s="116"/>
    </row>
    <row r="33" spans="1:7" ht="15.6" customHeight="1">
      <c r="A33" s="13"/>
      <c r="B33" s="107"/>
      <c r="C33" s="107" t="s">
        <v>14</v>
      </c>
      <c r="D33" s="108">
        <v>181</v>
      </c>
      <c r="E33" s="109">
        <v>138</v>
      </c>
      <c r="F33" s="109">
        <v>43</v>
      </c>
      <c r="G33" s="110"/>
    </row>
    <row r="34" spans="1:7" ht="15.6" customHeight="1">
      <c r="B34" s="117"/>
      <c r="C34" s="117" t="s">
        <v>32</v>
      </c>
      <c r="D34" s="98">
        <v>13</v>
      </c>
      <c r="E34" s="98">
        <v>0</v>
      </c>
      <c r="F34" s="98">
        <v>13</v>
      </c>
      <c r="G34" s="99"/>
    </row>
    <row r="35" spans="1:7" ht="15.6" customHeight="1">
      <c r="B35" s="117"/>
      <c r="C35" s="117" t="s">
        <v>33</v>
      </c>
      <c r="D35" s="98">
        <v>102</v>
      </c>
      <c r="E35" s="98">
        <v>90</v>
      </c>
      <c r="F35" s="98">
        <v>12</v>
      </c>
      <c r="G35" s="99"/>
    </row>
    <row r="36" spans="1:7" ht="15.6" customHeight="1">
      <c r="B36" s="117"/>
      <c r="C36" s="117" t="s">
        <v>34</v>
      </c>
      <c r="D36" s="98">
        <v>13</v>
      </c>
      <c r="E36" s="98">
        <v>0</v>
      </c>
      <c r="F36" s="98">
        <v>13</v>
      </c>
      <c r="G36" s="99"/>
    </row>
    <row r="37" spans="1:7" ht="15.6" customHeight="1">
      <c r="B37" s="118"/>
      <c r="C37" s="118" t="s">
        <v>35</v>
      </c>
      <c r="D37" s="98">
        <v>53</v>
      </c>
      <c r="E37" s="98">
        <v>48</v>
      </c>
      <c r="F37" s="98">
        <v>5</v>
      </c>
      <c r="G37" s="106"/>
    </row>
    <row r="38" spans="1:7" ht="15.6" customHeight="1">
      <c r="A38" s="13"/>
      <c r="B38" s="107"/>
      <c r="C38" s="107" t="s">
        <v>114</v>
      </c>
      <c r="D38" s="108">
        <v>529</v>
      </c>
      <c r="E38" s="109">
        <v>358</v>
      </c>
      <c r="F38" s="109">
        <v>171</v>
      </c>
      <c r="G38" s="110"/>
    </row>
    <row r="39" spans="1:7" ht="15.6" customHeight="1">
      <c r="B39" s="121"/>
      <c r="C39" s="121" t="s">
        <v>115</v>
      </c>
      <c r="D39" s="122">
        <v>114</v>
      </c>
      <c r="E39" s="122">
        <v>0</v>
      </c>
      <c r="F39" s="122">
        <v>114</v>
      </c>
      <c r="G39" s="123"/>
    </row>
    <row r="40" spans="1:7" ht="15.6" customHeight="1">
      <c r="B40" s="117"/>
      <c r="C40" s="117" t="s">
        <v>49</v>
      </c>
      <c r="D40" s="98">
        <v>380</v>
      </c>
      <c r="E40" s="98">
        <v>341</v>
      </c>
      <c r="F40" s="98">
        <v>39</v>
      </c>
      <c r="G40" s="99"/>
    </row>
    <row r="41" spans="1:7" ht="15.6" customHeight="1">
      <c r="B41" s="117"/>
      <c r="C41" s="117" t="s">
        <v>116</v>
      </c>
      <c r="D41" s="98">
        <v>17</v>
      </c>
      <c r="E41" s="98">
        <v>0</v>
      </c>
      <c r="F41" s="98">
        <v>17</v>
      </c>
      <c r="G41" s="99"/>
    </row>
    <row r="42" spans="1:7" ht="15.6" customHeight="1">
      <c r="B42" s="118"/>
      <c r="C42" s="118" t="s">
        <v>51</v>
      </c>
      <c r="D42" s="98">
        <v>18</v>
      </c>
      <c r="E42" s="98">
        <v>17</v>
      </c>
      <c r="F42" s="98">
        <v>1</v>
      </c>
      <c r="G42" s="106"/>
    </row>
    <row r="43" spans="1:7" ht="15.6" customHeight="1">
      <c r="B43" s="107"/>
      <c r="C43" s="107" t="s">
        <v>15</v>
      </c>
      <c r="D43" s="108">
        <v>10466</v>
      </c>
      <c r="E43" s="109">
        <v>10466</v>
      </c>
      <c r="F43" s="109">
        <v>0</v>
      </c>
      <c r="G43" s="110"/>
    </row>
    <row r="44" spans="1:7" ht="15.6" customHeight="1">
      <c r="B44" s="117"/>
      <c r="C44" s="117" t="s">
        <v>153</v>
      </c>
      <c r="D44" s="98">
        <v>1476</v>
      </c>
      <c r="E44" s="98">
        <v>1476</v>
      </c>
      <c r="F44" s="98">
        <v>0</v>
      </c>
      <c r="G44" s="99"/>
    </row>
    <row r="45" spans="1:7" ht="15.6" customHeight="1">
      <c r="B45" s="117"/>
      <c r="C45" s="117" t="s">
        <v>37</v>
      </c>
      <c r="D45" s="98">
        <v>8966</v>
      </c>
      <c r="E45" s="98">
        <v>8966</v>
      </c>
      <c r="F45" s="98">
        <v>0</v>
      </c>
      <c r="G45" s="99"/>
    </row>
    <row r="46" spans="1:7" ht="15.6" customHeight="1">
      <c r="B46" s="118"/>
      <c r="C46" s="118" t="s">
        <v>155</v>
      </c>
      <c r="D46" s="98">
        <v>24</v>
      </c>
      <c r="E46" s="98">
        <v>24</v>
      </c>
      <c r="F46" s="98">
        <v>0</v>
      </c>
      <c r="G46" s="106"/>
    </row>
    <row r="47" spans="1:7" ht="15.6" customHeight="1">
      <c r="A47" s="13"/>
      <c r="B47" s="114"/>
      <c r="C47" s="114" t="s">
        <v>52</v>
      </c>
      <c r="D47" s="115">
        <v>3530</v>
      </c>
      <c r="E47" s="115">
        <v>3530</v>
      </c>
      <c r="F47" s="115">
        <v>0</v>
      </c>
      <c r="G47" s="116"/>
    </row>
    <row r="48" spans="1:7" ht="15.6" customHeight="1">
      <c r="A48" s="13"/>
      <c r="B48" s="114"/>
      <c r="C48" s="114" t="s">
        <v>117</v>
      </c>
      <c r="D48" s="115">
        <v>21</v>
      </c>
      <c r="E48" s="115">
        <v>21</v>
      </c>
      <c r="F48" s="115">
        <v>0</v>
      </c>
      <c r="G48" s="116"/>
    </row>
    <row r="49" spans="1:7" ht="15.6" customHeight="1">
      <c r="A49" s="13"/>
      <c r="B49" s="107"/>
      <c r="C49" s="107" t="s">
        <v>16</v>
      </c>
      <c r="D49" s="108">
        <v>36</v>
      </c>
      <c r="E49" s="109">
        <v>28</v>
      </c>
      <c r="F49" s="109">
        <v>8</v>
      </c>
      <c r="G49" s="110"/>
    </row>
    <row r="50" spans="1:7" ht="15.6" customHeight="1">
      <c r="B50" s="97"/>
      <c r="C50" s="97" t="s">
        <v>158</v>
      </c>
      <c r="D50" s="98">
        <v>0</v>
      </c>
      <c r="E50" s="98">
        <v>0</v>
      </c>
      <c r="F50" s="98">
        <v>0</v>
      </c>
      <c r="G50" s="99"/>
    </row>
    <row r="51" spans="1:7" ht="15.6" customHeight="1">
      <c r="B51" s="97"/>
      <c r="C51" s="97" t="s">
        <v>118</v>
      </c>
      <c r="D51" s="98">
        <v>17</v>
      </c>
      <c r="E51" s="98">
        <v>13</v>
      </c>
      <c r="F51" s="98">
        <v>4</v>
      </c>
      <c r="G51" s="99"/>
    </row>
    <row r="52" spans="1:7" ht="15.6" customHeight="1">
      <c r="B52" s="105"/>
      <c r="C52" s="105" t="s">
        <v>142</v>
      </c>
      <c r="D52" s="98">
        <v>19</v>
      </c>
      <c r="E52" s="98">
        <v>15</v>
      </c>
      <c r="F52" s="98">
        <v>4</v>
      </c>
      <c r="G52" s="106"/>
    </row>
    <row r="53" spans="1:7" ht="15.6" customHeight="1">
      <c r="A53" s="13"/>
      <c r="B53" s="107"/>
      <c r="C53" s="107" t="s">
        <v>17</v>
      </c>
      <c r="D53" s="108">
        <v>181</v>
      </c>
      <c r="E53" s="109">
        <v>137</v>
      </c>
      <c r="F53" s="109">
        <v>44</v>
      </c>
      <c r="G53" s="110"/>
    </row>
    <row r="54" spans="1:7" ht="15.6" customHeight="1">
      <c r="B54" s="97"/>
      <c r="C54" s="97" t="s">
        <v>160</v>
      </c>
      <c r="D54" s="98">
        <v>0</v>
      </c>
      <c r="E54" s="98">
        <v>0</v>
      </c>
      <c r="F54" s="98">
        <v>0</v>
      </c>
      <c r="G54" s="99"/>
    </row>
    <row r="55" spans="1:7" ht="15.6" customHeight="1">
      <c r="B55" s="97"/>
      <c r="C55" s="97" t="s">
        <v>39</v>
      </c>
      <c r="D55" s="98">
        <v>80</v>
      </c>
      <c r="E55" s="98">
        <v>72</v>
      </c>
      <c r="F55" s="98">
        <v>8</v>
      </c>
      <c r="G55" s="99"/>
    </row>
    <row r="56" spans="1:7" ht="15.6" customHeight="1">
      <c r="B56" s="105"/>
      <c r="C56" s="105" t="s">
        <v>40</v>
      </c>
      <c r="D56" s="98">
        <v>101</v>
      </c>
      <c r="E56" s="98">
        <v>65</v>
      </c>
      <c r="F56" s="98">
        <v>36</v>
      </c>
      <c r="G56" s="106"/>
    </row>
    <row r="57" spans="1:7" ht="15.6" customHeight="1" thickBot="1">
      <c r="B57" s="124"/>
      <c r="C57" s="124" t="s">
        <v>119</v>
      </c>
      <c r="D57" s="125">
        <v>6175</v>
      </c>
      <c r="E57" s="125">
        <v>6175</v>
      </c>
      <c r="F57" s="125">
        <v>0</v>
      </c>
      <c r="G57" s="126"/>
    </row>
    <row r="58" spans="1:7" s="13" customFormat="1" ht="3.75" customHeight="1">
      <c r="B58" s="127"/>
      <c r="C58" s="97"/>
      <c r="D58" s="128"/>
      <c r="E58" s="128"/>
      <c r="F58" s="128"/>
      <c r="G58" s="129"/>
    </row>
    <row r="59" spans="1:7" s="5" customFormat="1" ht="11.25" customHeight="1">
      <c r="B59" s="130" t="s">
        <v>100</v>
      </c>
      <c r="C59" s="131"/>
      <c r="D59" s="132"/>
      <c r="E59" s="132"/>
      <c r="F59" s="133"/>
      <c r="G59" s="80"/>
    </row>
    <row r="60" spans="1:7" s="4" customFormat="1" ht="11.25">
      <c r="B60" s="134" t="s">
        <v>101</v>
      </c>
      <c r="C60" s="135"/>
      <c r="D60" s="136"/>
      <c r="E60" s="136"/>
      <c r="F60" s="137"/>
      <c r="G60" s="138"/>
    </row>
    <row r="61" spans="1:7" s="4" customFormat="1" ht="11.25" customHeight="1">
      <c r="B61" s="134" t="s">
        <v>102</v>
      </c>
      <c r="C61" s="139"/>
      <c r="D61" s="136"/>
      <c r="E61" s="132"/>
      <c r="F61" s="140"/>
      <c r="G61" s="79"/>
    </row>
    <row r="62" spans="1:7" s="4" customFormat="1" ht="14.1" customHeight="1">
      <c r="B62" s="134" t="s">
        <v>103</v>
      </c>
      <c r="C62" s="139"/>
      <c r="D62" s="136"/>
      <c r="E62" s="132"/>
      <c r="F62" s="140"/>
      <c r="G62" s="79"/>
    </row>
    <row r="63" spans="1:7" s="4" customFormat="1" ht="14.1" customHeight="1">
      <c r="B63" s="134" t="s">
        <v>104</v>
      </c>
      <c r="C63" s="139"/>
      <c r="D63" s="136"/>
      <c r="E63" s="132"/>
      <c r="F63" s="140"/>
      <c r="G63" s="79"/>
    </row>
    <row r="64" spans="1:7" s="17" customFormat="1" ht="17.100000000000001" customHeight="1">
      <c r="A64" s="4"/>
      <c r="B64" s="3"/>
      <c r="C64" s="16"/>
      <c r="D64" s="15"/>
      <c r="E64" s="14"/>
      <c r="F64" s="15"/>
      <c r="G64" s="4"/>
    </row>
    <row r="65" spans="4:6" ht="17.100000000000001" customHeight="1">
      <c r="D65" s="18"/>
      <c r="E65" s="19"/>
      <c r="F65" s="18"/>
    </row>
    <row r="66" spans="4:6" ht="17.100000000000001" customHeight="1">
      <c r="D66" s="18"/>
      <c r="E66" s="19"/>
      <c r="F66" s="18"/>
    </row>
  </sheetData>
  <mergeCells count="2">
    <mergeCell ref="B1:G1"/>
    <mergeCell ref="B2:G2"/>
  </mergeCells>
  <phoneticPr fontId="17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7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66"/>
  <sheetViews>
    <sheetView showGridLines="0" zoomScale="85" zoomScaleNormal="85" workbookViewId="0">
      <selection activeCell="E11" sqref="E11"/>
    </sheetView>
  </sheetViews>
  <sheetFormatPr defaultColWidth="1.7109375" defaultRowHeight="17.100000000000001" customHeight="1"/>
  <cols>
    <col min="1" max="1" width="2.28515625" style="10" customWidth="1"/>
    <col min="2" max="2" width="2.28515625" style="20" customWidth="1"/>
    <col min="3" max="3" width="29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2.28515625" style="10" customWidth="1"/>
    <col min="8" max="255" width="9.140625" style="9" customWidth="1"/>
    <col min="256" max="16384" width="1.7109375" style="9"/>
  </cols>
  <sheetData>
    <row r="1" spans="2:7" s="1" customFormat="1" ht="21.95" customHeight="1">
      <c r="B1" s="249" t="s">
        <v>105</v>
      </c>
      <c r="C1" s="249"/>
      <c r="D1" s="249"/>
      <c r="E1" s="249"/>
      <c r="F1" s="249"/>
      <c r="G1" s="249"/>
    </row>
    <row r="2" spans="2:7" s="2" customFormat="1" ht="15" customHeight="1">
      <c r="B2" s="250" t="s">
        <v>193</v>
      </c>
      <c r="C2" s="250"/>
      <c r="D2" s="250"/>
      <c r="E2" s="250"/>
      <c r="F2" s="250"/>
      <c r="G2" s="250"/>
    </row>
    <row r="3" spans="2:7" s="4" customFormat="1" ht="11.1" customHeight="1" thickBot="1">
      <c r="B3" s="77"/>
      <c r="C3" s="78"/>
      <c r="D3" s="79"/>
      <c r="E3" s="80"/>
      <c r="F3" s="81" t="s">
        <v>54</v>
      </c>
      <c r="G3" s="81"/>
    </row>
    <row r="4" spans="2:7" s="6" customFormat="1" ht="15.6" customHeight="1">
      <c r="B4" s="82"/>
      <c r="C4" s="83" t="s">
        <v>95</v>
      </c>
      <c r="D4" s="84" t="s">
        <v>55</v>
      </c>
      <c r="E4" s="84" t="s">
        <v>56</v>
      </c>
      <c r="F4" s="84" t="s">
        <v>57</v>
      </c>
      <c r="G4" s="85"/>
    </row>
    <row r="5" spans="2:7" s="7" customFormat="1" ht="20.100000000000001" customHeight="1">
      <c r="B5" s="86"/>
      <c r="C5" s="87" t="s">
        <v>106</v>
      </c>
      <c r="D5" s="88">
        <f>SUM(D7,D11,D15,D21,D22,D23,D24,D28,D31,D32,D33,D38,D43,D47,D48,D49,D53,D57)</f>
        <v>57544</v>
      </c>
      <c r="E5" s="88">
        <f t="shared" ref="E5:F5" si="0">SUM(E7,E11,E15,E21,E22,E23,E24,E28,E31,E32,E33,E38,E43,E47,E48,E49,E53,E57)</f>
        <v>36844</v>
      </c>
      <c r="F5" s="88">
        <f t="shared" si="0"/>
        <v>20700</v>
      </c>
      <c r="G5" s="89"/>
    </row>
    <row r="6" spans="2:7" s="8" customFormat="1" ht="15" customHeight="1" thickBot="1">
      <c r="B6" s="90"/>
      <c r="C6" s="91" t="s">
        <v>107</v>
      </c>
      <c r="D6" s="92">
        <v>-3895</v>
      </c>
      <c r="E6" s="92">
        <v>-1909</v>
      </c>
      <c r="F6" s="92">
        <v>-1986</v>
      </c>
      <c r="G6" s="93"/>
    </row>
    <row r="7" spans="2:7" ht="15.6" customHeight="1" thickTop="1">
      <c r="B7" s="94"/>
      <c r="C7" s="94" t="s">
        <v>108</v>
      </c>
      <c r="D7" s="95">
        <v>38</v>
      </c>
      <c r="E7" s="95">
        <v>0</v>
      </c>
      <c r="F7" s="95">
        <v>38</v>
      </c>
      <c r="G7" s="96"/>
    </row>
    <row r="8" spans="2:7" ht="15.6" customHeight="1">
      <c r="B8" s="97"/>
      <c r="C8" s="97" t="s">
        <v>0</v>
      </c>
      <c r="D8" s="98">
        <v>34</v>
      </c>
      <c r="E8" s="98">
        <v>0</v>
      </c>
      <c r="F8" s="98">
        <v>34</v>
      </c>
      <c r="G8" s="99"/>
    </row>
    <row r="9" spans="2:7" ht="15.6" customHeight="1">
      <c r="B9" s="97"/>
      <c r="C9" s="97" t="s">
        <v>1</v>
      </c>
      <c r="D9" s="98">
        <v>3</v>
      </c>
      <c r="E9" s="98">
        <v>0</v>
      </c>
      <c r="F9" s="98">
        <v>3</v>
      </c>
      <c r="G9" s="99"/>
    </row>
    <row r="10" spans="2:7" ht="15.6" customHeight="1">
      <c r="B10" s="97"/>
      <c r="C10" s="97" t="s">
        <v>2</v>
      </c>
      <c r="D10" s="98">
        <v>1</v>
      </c>
      <c r="E10" s="98">
        <v>0</v>
      </c>
      <c r="F10" s="98">
        <v>1</v>
      </c>
      <c r="G10" s="100"/>
    </row>
    <row r="11" spans="2:7" ht="15.6" customHeight="1">
      <c r="B11" s="101"/>
      <c r="C11" s="101" t="s">
        <v>3</v>
      </c>
      <c r="D11" s="102">
        <v>329</v>
      </c>
      <c r="E11" s="103">
        <v>0</v>
      </c>
      <c r="F11" s="103">
        <v>329</v>
      </c>
      <c r="G11" s="104"/>
    </row>
    <row r="12" spans="2:7" ht="15.6" customHeight="1">
      <c r="B12" s="97"/>
      <c r="C12" s="97" t="s">
        <v>0</v>
      </c>
      <c r="D12" s="98">
        <v>155</v>
      </c>
      <c r="E12" s="98">
        <v>0</v>
      </c>
      <c r="F12" s="98">
        <v>155</v>
      </c>
      <c r="G12" s="99"/>
    </row>
    <row r="13" spans="2:7" ht="15.6" customHeight="1">
      <c r="B13" s="97"/>
      <c r="C13" s="97" t="s">
        <v>1</v>
      </c>
      <c r="D13" s="98">
        <v>39</v>
      </c>
      <c r="E13" s="98">
        <v>0</v>
      </c>
      <c r="F13" s="98">
        <v>39</v>
      </c>
      <c r="G13" s="99"/>
    </row>
    <row r="14" spans="2:7" ht="15.6" customHeight="1">
      <c r="B14" s="105"/>
      <c r="C14" s="105" t="s">
        <v>2</v>
      </c>
      <c r="D14" s="98">
        <v>135</v>
      </c>
      <c r="E14" s="98">
        <v>0</v>
      </c>
      <c r="F14" s="98">
        <v>135</v>
      </c>
      <c r="G14" s="106"/>
    </row>
    <row r="15" spans="2:7" ht="15.6" customHeight="1">
      <c r="B15" s="107"/>
      <c r="C15" s="107" t="s">
        <v>109</v>
      </c>
      <c r="D15" s="108">
        <v>19859</v>
      </c>
      <c r="E15" s="109">
        <v>6472</v>
      </c>
      <c r="F15" s="109">
        <v>13387</v>
      </c>
      <c r="G15" s="110"/>
    </row>
    <row r="16" spans="2:7" ht="15.6" customHeight="1">
      <c r="B16" s="97"/>
      <c r="C16" s="97" t="s">
        <v>4</v>
      </c>
      <c r="D16" s="98">
        <v>2384</v>
      </c>
      <c r="E16" s="98">
        <v>0</v>
      </c>
      <c r="F16" s="98">
        <v>2384</v>
      </c>
      <c r="G16" s="99"/>
    </row>
    <row r="17" spans="1:7" ht="15.6" customHeight="1">
      <c r="B17" s="97"/>
      <c r="C17" s="97" t="s">
        <v>5</v>
      </c>
      <c r="D17" s="98">
        <v>11999</v>
      </c>
      <c r="E17" s="98">
        <v>3342</v>
      </c>
      <c r="F17" s="98">
        <v>8657</v>
      </c>
      <c r="G17" s="99"/>
    </row>
    <row r="18" spans="1:7" ht="15.6" customHeight="1">
      <c r="B18" s="97"/>
      <c r="C18" s="97" t="s">
        <v>6</v>
      </c>
      <c r="D18" s="98">
        <v>981</v>
      </c>
      <c r="E18" s="98">
        <v>0</v>
      </c>
      <c r="F18" s="98">
        <v>981</v>
      </c>
      <c r="G18" s="99"/>
    </row>
    <row r="19" spans="1:7" ht="15.6" customHeight="1">
      <c r="B19" s="97"/>
      <c r="C19" s="97" t="s">
        <v>7</v>
      </c>
      <c r="D19" s="98">
        <v>4495</v>
      </c>
      <c r="E19" s="98">
        <v>3130</v>
      </c>
      <c r="F19" s="98">
        <v>1365</v>
      </c>
      <c r="G19" s="99"/>
    </row>
    <row r="20" spans="1:7" s="12" customFormat="1" ht="12">
      <c r="A20" s="11"/>
      <c r="B20" s="111"/>
      <c r="C20" s="111" t="s">
        <v>110</v>
      </c>
      <c r="D20" s="112">
        <v>-3895</v>
      </c>
      <c r="E20" s="112">
        <v>-1909</v>
      </c>
      <c r="F20" s="112">
        <v>-1986</v>
      </c>
      <c r="G20" s="113"/>
    </row>
    <row r="21" spans="1:7" ht="15.6" customHeight="1">
      <c r="B21" s="114"/>
      <c r="C21" s="114" t="s">
        <v>8</v>
      </c>
      <c r="D21" s="115">
        <v>5677</v>
      </c>
      <c r="E21" s="115">
        <v>505</v>
      </c>
      <c r="F21" s="115">
        <v>5172</v>
      </c>
      <c r="G21" s="116"/>
    </row>
    <row r="22" spans="1:7" ht="15.6" customHeight="1">
      <c r="B22" s="114"/>
      <c r="C22" s="114" t="s">
        <v>9</v>
      </c>
      <c r="D22" s="115">
        <v>5264</v>
      </c>
      <c r="E22" s="115">
        <v>4598</v>
      </c>
      <c r="F22" s="115">
        <v>666</v>
      </c>
      <c r="G22" s="116"/>
    </row>
    <row r="23" spans="1:7" ht="15.6" customHeight="1">
      <c r="B23" s="114"/>
      <c r="C23" s="114" t="s">
        <v>26</v>
      </c>
      <c r="D23" s="115">
        <v>16</v>
      </c>
      <c r="E23" s="115">
        <v>0</v>
      </c>
      <c r="F23" s="115">
        <v>16</v>
      </c>
      <c r="G23" s="116"/>
    </row>
    <row r="24" spans="1:7" ht="15.6" customHeight="1">
      <c r="B24" s="107"/>
      <c r="C24" s="107" t="s">
        <v>10</v>
      </c>
      <c r="D24" s="108">
        <v>78</v>
      </c>
      <c r="E24" s="109">
        <v>26</v>
      </c>
      <c r="F24" s="109">
        <v>52</v>
      </c>
      <c r="G24" s="110"/>
    </row>
    <row r="25" spans="1:7" ht="15.6" customHeight="1">
      <c r="A25" s="13"/>
      <c r="B25" s="117"/>
      <c r="C25" s="117" t="s">
        <v>111</v>
      </c>
      <c r="D25" s="98">
        <v>1</v>
      </c>
      <c r="E25" s="98">
        <v>0</v>
      </c>
      <c r="F25" s="98">
        <v>1</v>
      </c>
      <c r="G25" s="99"/>
    </row>
    <row r="26" spans="1:7" ht="15.6" customHeight="1">
      <c r="A26" s="13"/>
      <c r="B26" s="117"/>
      <c r="C26" s="117" t="s">
        <v>112</v>
      </c>
      <c r="D26" s="98">
        <v>32</v>
      </c>
      <c r="E26" s="98">
        <v>11</v>
      </c>
      <c r="F26" s="98">
        <v>21</v>
      </c>
      <c r="G26" s="99"/>
    </row>
    <row r="27" spans="1:7" ht="15.6" customHeight="1">
      <c r="A27" s="13"/>
      <c r="B27" s="118"/>
      <c r="C27" s="118" t="s">
        <v>113</v>
      </c>
      <c r="D27" s="98">
        <v>45</v>
      </c>
      <c r="E27" s="98">
        <v>15</v>
      </c>
      <c r="F27" s="98">
        <v>30</v>
      </c>
      <c r="G27" s="106"/>
    </row>
    <row r="28" spans="1:7" ht="15.6" customHeight="1">
      <c r="B28" s="107"/>
      <c r="C28" s="107" t="s">
        <v>167</v>
      </c>
      <c r="D28" s="108">
        <v>963</v>
      </c>
      <c r="E28" s="109">
        <v>253</v>
      </c>
      <c r="F28" s="109">
        <v>710</v>
      </c>
      <c r="G28" s="110"/>
    </row>
    <row r="29" spans="1:7" ht="15.6" customHeight="1">
      <c r="B29" s="117"/>
      <c r="C29" s="117" t="s">
        <v>11</v>
      </c>
      <c r="D29" s="98">
        <v>520</v>
      </c>
      <c r="E29" s="98">
        <v>0</v>
      </c>
      <c r="F29" s="98">
        <v>520</v>
      </c>
      <c r="G29" s="99"/>
    </row>
    <row r="30" spans="1:7" ht="15.6" customHeight="1">
      <c r="B30" s="119"/>
      <c r="C30" s="119" t="s">
        <v>12</v>
      </c>
      <c r="D30" s="98">
        <v>443</v>
      </c>
      <c r="E30" s="98">
        <v>253</v>
      </c>
      <c r="F30" s="98">
        <v>190</v>
      </c>
      <c r="G30" s="106"/>
    </row>
    <row r="31" spans="1:7" ht="15.6" customHeight="1">
      <c r="B31" s="120"/>
      <c r="C31" s="120" t="s">
        <v>30</v>
      </c>
      <c r="D31" s="115">
        <v>0</v>
      </c>
      <c r="E31" s="115">
        <v>0</v>
      </c>
      <c r="F31" s="115">
        <v>0</v>
      </c>
      <c r="G31" s="116"/>
    </row>
    <row r="32" spans="1:7" ht="15.6" customHeight="1">
      <c r="B32" s="120"/>
      <c r="C32" s="120" t="s">
        <v>13</v>
      </c>
      <c r="D32" s="115">
        <v>5</v>
      </c>
      <c r="E32" s="115">
        <v>0</v>
      </c>
      <c r="F32" s="115">
        <v>5</v>
      </c>
      <c r="G32" s="116"/>
    </row>
    <row r="33" spans="1:7" ht="15.6" customHeight="1">
      <c r="A33" s="13"/>
      <c r="B33" s="107"/>
      <c r="C33" s="107" t="s">
        <v>14</v>
      </c>
      <c r="D33" s="108">
        <v>189</v>
      </c>
      <c r="E33" s="109">
        <v>144</v>
      </c>
      <c r="F33" s="109">
        <v>45</v>
      </c>
      <c r="G33" s="110"/>
    </row>
    <row r="34" spans="1:7" ht="15.6" customHeight="1">
      <c r="B34" s="117"/>
      <c r="C34" s="117" t="s">
        <v>32</v>
      </c>
      <c r="D34" s="98">
        <v>16</v>
      </c>
      <c r="E34" s="98">
        <v>0</v>
      </c>
      <c r="F34" s="98">
        <v>16</v>
      </c>
      <c r="G34" s="99"/>
    </row>
    <row r="35" spans="1:7" ht="15.6" customHeight="1">
      <c r="B35" s="117"/>
      <c r="C35" s="117" t="s">
        <v>33</v>
      </c>
      <c r="D35" s="98">
        <v>108</v>
      </c>
      <c r="E35" s="98">
        <v>103</v>
      </c>
      <c r="F35" s="98">
        <v>5</v>
      </c>
      <c r="G35" s="99"/>
    </row>
    <row r="36" spans="1:7" ht="15.6" customHeight="1">
      <c r="B36" s="117"/>
      <c r="C36" s="117" t="s">
        <v>34</v>
      </c>
      <c r="D36" s="98">
        <v>15</v>
      </c>
      <c r="E36" s="98">
        <v>0</v>
      </c>
      <c r="F36" s="98">
        <v>15</v>
      </c>
      <c r="G36" s="99"/>
    </row>
    <row r="37" spans="1:7" ht="15.6" customHeight="1">
      <c r="B37" s="118"/>
      <c r="C37" s="118" t="s">
        <v>35</v>
      </c>
      <c r="D37" s="98">
        <v>50</v>
      </c>
      <c r="E37" s="98">
        <v>41</v>
      </c>
      <c r="F37" s="98">
        <v>9</v>
      </c>
      <c r="G37" s="106"/>
    </row>
    <row r="38" spans="1:7" ht="15.6" customHeight="1">
      <c r="A38" s="13"/>
      <c r="B38" s="107"/>
      <c r="C38" s="107" t="s">
        <v>114</v>
      </c>
      <c r="D38" s="108">
        <v>608</v>
      </c>
      <c r="E38" s="109">
        <v>396</v>
      </c>
      <c r="F38" s="109">
        <v>212</v>
      </c>
      <c r="G38" s="110"/>
    </row>
    <row r="39" spans="1:7" ht="15.6" customHeight="1">
      <c r="B39" s="121"/>
      <c r="C39" s="121" t="s">
        <v>115</v>
      </c>
      <c r="D39" s="122">
        <v>132</v>
      </c>
      <c r="E39" s="122">
        <v>0</v>
      </c>
      <c r="F39" s="122">
        <v>132</v>
      </c>
      <c r="G39" s="123"/>
    </row>
    <row r="40" spans="1:7" ht="15.6" customHeight="1">
      <c r="B40" s="117"/>
      <c r="C40" s="117" t="s">
        <v>49</v>
      </c>
      <c r="D40" s="98">
        <v>417</v>
      </c>
      <c r="E40" s="98">
        <v>366</v>
      </c>
      <c r="F40" s="98">
        <v>51</v>
      </c>
      <c r="G40" s="99"/>
    </row>
    <row r="41" spans="1:7" ht="15.6" customHeight="1">
      <c r="B41" s="117"/>
      <c r="C41" s="117" t="s">
        <v>116</v>
      </c>
      <c r="D41" s="98">
        <v>24</v>
      </c>
      <c r="E41" s="98">
        <v>0</v>
      </c>
      <c r="F41" s="98">
        <v>24</v>
      </c>
      <c r="G41" s="99"/>
    </row>
    <row r="42" spans="1:7" ht="15.6" customHeight="1">
      <c r="B42" s="118"/>
      <c r="C42" s="118" t="s">
        <v>51</v>
      </c>
      <c r="D42" s="98">
        <v>35</v>
      </c>
      <c r="E42" s="98">
        <v>30</v>
      </c>
      <c r="F42" s="98">
        <v>5</v>
      </c>
      <c r="G42" s="106"/>
    </row>
    <row r="43" spans="1:7" ht="15.6" customHeight="1">
      <c r="B43" s="107"/>
      <c r="C43" s="107" t="s">
        <v>15</v>
      </c>
      <c r="D43" s="108">
        <v>11648</v>
      </c>
      <c r="E43" s="109">
        <v>11648</v>
      </c>
      <c r="F43" s="109">
        <v>0</v>
      </c>
      <c r="G43" s="110"/>
    </row>
    <row r="44" spans="1:7" ht="15.6" customHeight="1">
      <c r="B44" s="117"/>
      <c r="C44" s="117" t="s">
        <v>153</v>
      </c>
      <c r="D44" s="98">
        <v>1074</v>
      </c>
      <c r="E44" s="98">
        <v>1074</v>
      </c>
      <c r="F44" s="98">
        <v>0</v>
      </c>
      <c r="G44" s="99"/>
    </row>
    <row r="45" spans="1:7" ht="15.6" customHeight="1">
      <c r="B45" s="117"/>
      <c r="C45" s="117" t="s">
        <v>37</v>
      </c>
      <c r="D45" s="98">
        <v>10546</v>
      </c>
      <c r="E45" s="98">
        <v>10546</v>
      </c>
      <c r="F45" s="98">
        <v>0</v>
      </c>
      <c r="G45" s="99"/>
    </row>
    <row r="46" spans="1:7" ht="15.6" customHeight="1">
      <c r="B46" s="118"/>
      <c r="C46" s="118" t="s">
        <v>155</v>
      </c>
      <c r="D46" s="98">
        <v>28</v>
      </c>
      <c r="E46" s="98">
        <v>28</v>
      </c>
      <c r="F46" s="98">
        <v>0</v>
      </c>
      <c r="G46" s="106"/>
    </row>
    <row r="47" spans="1:7" ht="15.6" customHeight="1">
      <c r="A47" s="13"/>
      <c r="B47" s="114"/>
      <c r="C47" s="114" t="s">
        <v>52</v>
      </c>
      <c r="D47" s="115">
        <v>3199</v>
      </c>
      <c r="E47" s="115">
        <v>3199</v>
      </c>
      <c r="F47" s="115">
        <v>0</v>
      </c>
      <c r="G47" s="116"/>
    </row>
    <row r="48" spans="1:7" ht="15.6" customHeight="1">
      <c r="A48" s="13"/>
      <c r="B48" s="114"/>
      <c r="C48" s="114" t="s">
        <v>117</v>
      </c>
      <c r="D48" s="115">
        <v>11</v>
      </c>
      <c r="E48" s="115">
        <v>11</v>
      </c>
      <c r="F48" s="115">
        <v>0</v>
      </c>
      <c r="G48" s="116"/>
    </row>
    <row r="49" spans="1:7" ht="15.6" customHeight="1">
      <c r="A49" s="13"/>
      <c r="B49" s="107"/>
      <c r="C49" s="107" t="s">
        <v>16</v>
      </c>
      <c r="D49" s="108">
        <v>58</v>
      </c>
      <c r="E49" s="109">
        <v>43</v>
      </c>
      <c r="F49" s="109">
        <v>15</v>
      </c>
      <c r="G49" s="110"/>
    </row>
    <row r="50" spans="1:7" ht="15.6" customHeight="1">
      <c r="B50" s="97"/>
      <c r="C50" s="97" t="s">
        <v>158</v>
      </c>
      <c r="D50" s="98">
        <v>2</v>
      </c>
      <c r="E50" s="98">
        <v>0</v>
      </c>
      <c r="F50" s="98">
        <v>2</v>
      </c>
      <c r="G50" s="99"/>
    </row>
    <row r="51" spans="1:7" ht="15.6" customHeight="1">
      <c r="B51" s="97"/>
      <c r="C51" s="97" t="s">
        <v>118</v>
      </c>
      <c r="D51" s="98">
        <v>33</v>
      </c>
      <c r="E51" s="98">
        <v>20</v>
      </c>
      <c r="F51" s="98">
        <v>13</v>
      </c>
      <c r="G51" s="99"/>
    </row>
    <row r="52" spans="1:7" ht="15.6" customHeight="1">
      <c r="B52" s="105"/>
      <c r="C52" s="105" t="s">
        <v>142</v>
      </c>
      <c r="D52" s="98">
        <v>23</v>
      </c>
      <c r="E52" s="98">
        <v>23</v>
      </c>
      <c r="F52" s="98">
        <v>0</v>
      </c>
      <c r="G52" s="106"/>
    </row>
    <row r="53" spans="1:7" ht="15.6" customHeight="1">
      <c r="A53" s="13"/>
      <c r="B53" s="107"/>
      <c r="C53" s="107" t="s">
        <v>17</v>
      </c>
      <c r="D53" s="108">
        <v>276</v>
      </c>
      <c r="E53" s="109">
        <v>223</v>
      </c>
      <c r="F53" s="109">
        <v>53</v>
      </c>
      <c r="G53" s="110"/>
    </row>
    <row r="54" spans="1:7" ht="15.6" customHeight="1">
      <c r="B54" s="97"/>
      <c r="C54" s="97" t="s">
        <v>160</v>
      </c>
      <c r="D54" s="98">
        <v>1</v>
      </c>
      <c r="E54" s="98">
        <v>0</v>
      </c>
      <c r="F54" s="98">
        <v>1</v>
      </c>
      <c r="G54" s="99"/>
    </row>
    <row r="55" spans="1:7" ht="15.6" customHeight="1">
      <c r="B55" s="97"/>
      <c r="C55" s="97" t="s">
        <v>39</v>
      </c>
      <c r="D55" s="98">
        <v>109</v>
      </c>
      <c r="E55" s="98">
        <v>97</v>
      </c>
      <c r="F55" s="98">
        <v>12</v>
      </c>
      <c r="G55" s="99"/>
    </row>
    <row r="56" spans="1:7" ht="15.6" customHeight="1">
      <c r="B56" s="105"/>
      <c r="C56" s="105" t="s">
        <v>40</v>
      </c>
      <c r="D56" s="98">
        <v>166</v>
      </c>
      <c r="E56" s="98">
        <v>126</v>
      </c>
      <c r="F56" s="98">
        <v>40</v>
      </c>
      <c r="G56" s="106"/>
    </row>
    <row r="57" spans="1:7" ht="15.6" customHeight="1" thickBot="1">
      <c r="B57" s="124"/>
      <c r="C57" s="124" t="s">
        <v>119</v>
      </c>
      <c r="D57" s="125">
        <v>9326</v>
      </c>
      <c r="E57" s="125">
        <v>9326</v>
      </c>
      <c r="F57" s="125">
        <v>0</v>
      </c>
      <c r="G57" s="126"/>
    </row>
    <row r="58" spans="1:7" s="13" customFormat="1" ht="3" customHeight="1">
      <c r="B58" s="127"/>
      <c r="C58" s="97"/>
      <c r="D58" s="128"/>
      <c r="E58" s="128"/>
      <c r="F58" s="128"/>
      <c r="G58" s="129"/>
    </row>
    <row r="59" spans="1:7" s="5" customFormat="1" ht="11.25" customHeight="1">
      <c r="B59" s="130" t="s">
        <v>100</v>
      </c>
      <c r="C59" s="131"/>
      <c r="D59" s="132"/>
      <c r="E59" s="132"/>
      <c r="F59" s="133"/>
      <c r="G59" s="80"/>
    </row>
    <row r="60" spans="1:7" s="4" customFormat="1" ht="11.25">
      <c r="B60" s="134" t="s">
        <v>101</v>
      </c>
      <c r="C60" s="135"/>
      <c r="D60" s="136"/>
      <c r="E60" s="136"/>
      <c r="F60" s="137"/>
      <c r="G60" s="138"/>
    </row>
    <row r="61" spans="1:7" s="4" customFormat="1" ht="11.25" customHeight="1">
      <c r="B61" s="134" t="s">
        <v>102</v>
      </c>
      <c r="C61" s="139"/>
      <c r="D61" s="136"/>
      <c r="E61" s="132"/>
      <c r="F61" s="140"/>
      <c r="G61" s="79"/>
    </row>
    <row r="62" spans="1:7" s="4" customFormat="1" ht="14.1" customHeight="1">
      <c r="B62" s="134" t="s">
        <v>103</v>
      </c>
      <c r="C62" s="139"/>
      <c r="D62" s="136"/>
      <c r="E62" s="132"/>
      <c r="F62" s="140"/>
      <c r="G62" s="79"/>
    </row>
    <row r="63" spans="1:7" s="4" customFormat="1" ht="14.1" customHeight="1">
      <c r="B63" s="134" t="s">
        <v>104</v>
      </c>
      <c r="C63" s="139"/>
      <c r="D63" s="136"/>
      <c r="E63" s="132"/>
      <c r="F63" s="140"/>
      <c r="G63" s="79"/>
    </row>
    <row r="64" spans="1:7" s="17" customFormat="1" ht="17.100000000000001" customHeight="1">
      <c r="A64" s="4"/>
      <c r="B64" s="3"/>
      <c r="C64" s="16"/>
      <c r="D64" s="15"/>
      <c r="E64" s="14"/>
      <c r="F64" s="15"/>
      <c r="G64" s="4"/>
    </row>
    <row r="65" spans="4:6" ht="17.100000000000001" customHeight="1">
      <c r="D65" s="18"/>
      <c r="E65" s="19"/>
      <c r="F65" s="18"/>
    </row>
    <row r="66" spans="4:6" ht="17.100000000000001" customHeight="1">
      <c r="D66" s="18"/>
      <c r="E66" s="19"/>
      <c r="F66" s="18"/>
    </row>
  </sheetData>
  <mergeCells count="2">
    <mergeCell ref="B1:G1"/>
    <mergeCell ref="B2:G2"/>
  </mergeCells>
  <phoneticPr fontId="17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75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66"/>
  <sheetViews>
    <sheetView showGridLines="0" zoomScale="85" zoomScaleNormal="85" workbookViewId="0">
      <selection activeCell="E12" sqref="E12"/>
    </sheetView>
  </sheetViews>
  <sheetFormatPr defaultColWidth="1.7109375" defaultRowHeight="17.100000000000001" customHeight="1"/>
  <cols>
    <col min="1" max="1" width="2.28515625" style="10" customWidth="1"/>
    <col min="2" max="2" width="2.28515625" style="20" customWidth="1"/>
    <col min="3" max="3" width="29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2.28515625" style="10" customWidth="1"/>
    <col min="8" max="255" width="9.140625" style="9" customWidth="1"/>
    <col min="256" max="16384" width="1.7109375" style="9"/>
  </cols>
  <sheetData>
    <row r="1" spans="2:7" s="1" customFormat="1" ht="21.95" customHeight="1">
      <c r="B1" s="249" t="s">
        <v>105</v>
      </c>
      <c r="C1" s="249"/>
      <c r="D1" s="249"/>
      <c r="E1" s="249"/>
      <c r="F1" s="249"/>
      <c r="G1" s="249"/>
    </row>
    <row r="2" spans="2:7" s="2" customFormat="1" ht="15" customHeight="1">
      <c r="B2" s="250" t="s">
        <v>194</v>
      </c>
      <c r="C2" s="250"/>
      <c r="D2" s="250"/>
      <c r="E2" s="250"/>
      <c r="F2" s="250"/>
      <c r="G2" s="250"/>
    </row>
    <row r="3" spans="2:7" s="4" customFormat="1" ht="11.1" customHeight="1" thickBot="1">
      <c r="B3" s="77"/>
      <c r="C3" s="78"/>
      <c r="D3" s="79"/>
      <c r="E3" s="80"/>
      <c r="F3" s="81" t="s">
        <v>54</v>
      </c>
      <c r="G3" s="81"/>
    </row>
    <row r="4" spans="2:7" s="6" customFormat="1" ht="15.6" customHeight="1">
      <c r="B4" s="82"/>
      <c r="C4" s="83" t="s">
        <v>95</v>
      </c>
      <c r="D4" s="84" t="s">
        <v>55</v>
      </c>
      <c r="E4" s="84" t="s">
        <v>56</v>
      </c>
      <c r="F4" s="84" t="s">
        <v>57</v>
      </c>
      <c r="G4" s="85"/>
    </row>
    <row r="5" spans="2:7" s="7" customFormat="1" ht="20.100000000000001" customHeight="1">
      <c r="B5" s="86"/>
      <c r="C5" s="87" t="s">
        <v>106</v>
      </c>
      <c r="D5" s="88">
        <f>SUM(D7,D11,D15,D21,D22,D23,D24,D28,D31,D32,D33,D38,D43,D47,D48,D49,D53,D57)</f>
        <v>11684</v>
      </c>
      <c r="E5" s="88">
        <f t="shared" ref="E5:F5" si="0">SUM(E7,E11,E15,E21,E22,E23,E24,E28,E31,E32,E33,E38,E43,E47,E48,E49,E53,E57)</f>
        <v>6009</v>
      </c>
      <c r="F5" s="88">
        <f t="shared" si="0"/>
        <v>5675</v>
      </c>
      <c r="G5" s="89"/>
    </row>
    <row r="6" spans="2:7" s="8" customFormat="1" ht="15" customHeight="1" thickBot="1">
      <c r="B6" s="90"/>
      <c r="C6" s="91" t="s">
        <v>107</v>
      </c>
      <c r="D6" s="92">
        <v>-673</v>
      </c>
      <c r="E6" s="92">
        <v>-325</v>
      </c>
      <c r="F6" s="92">
        <v>-348</v>
      </c>
      <c r="G6" s="93"/>
    </row>
    <row r="7" spans="2:7" ht="15.6" customHeight="1" thickTop="1">
      <c r="B7" s="94"/>
      <c r="C7" s="94" t="s">
        <v>108</v>
      </c>
      <c r="D7" s="95">
        <v>4</v>
      </c>
      <c r="E7" s="95">
        <v>0</v>
      </c>
      <c r="F7" s="95">
        <v>4</v>
      </c>
      <c r="G7" s="96"/>
    </row>
    <row r="8" spans="2:7" ht="15.6" customHeight="1">
      <c r="B8" s="97"/>
      <c r="C8" s="97" t="s">
        <v>0</v>
      </c>
      <c r="D8" s="98">
        <v>4</v>
      </c>
      <c r="E8" s="98">
        <v>0</v>
      </c>
      <c r="F8" s="98">
        <v>4</v>
      </c>
      <c r="G8" s="99"/>
    </row>
    <row r="9" spans="2:7" ht="15.6" customHeight="1">
      <c r="B9" s="97"/>
      <c r="C9" s="97" t="s">
        <v>1</v>
      </c>
      <c r="D9" s="98">
        <v>0</v>
      </c>
      <c r="E9" s="98">
        <v>0</v>
      </c>
      <c r="F9" s="98">
        <v>0</v>
      </c>
      <c r="G9" s="99"/>
    </row>
    <row r="10" spans="2:7" ht="15.6" customHeight="1">
      <c r="B10" s="97"/>
      <c r="C10" s="97" t="s">
        <v>2</v>
      </c>
      <c r="D10" s="98">
        <v>0</v>
      </c>
      <c r="E10" s="98">
        <v>0</v>
      </c>
      <c r="F10" s="98">
        <v>0</v>
      </c>
      <c r="G10" s="100"/>
    </row>
    <row r="11" spans="2:7" ht="15.6" customHeight="1">
      <c r="B11" s="101"/>
      <c r="C11" s="101" t="s">
        <v>3</v>
      </c>
      <c r="D11" s="102">
        <v>103</v>
      </c>
      <c r="E11" s="103">
        <v>1</v>
      </c>
      <c r="F11" s="103">
        <v>102</v>
      </c>
      <c r="G11" s="104"/>
    </row>
    <row r="12" spans="2:7" ht="15.6" customHeight="1">
      <c r="B12" s="97"/>
      <c r="C12" s="97" t="s">
        <v>0</v>
      </c>
      <c r="D12" s="98">
        <v>62</v>
      </c>
      <c r="E12" s="98">
        <v>1</v>
      </c>
      <c r="F12" s="98">
        <v>61</v>
      </c>
      <c r="G12" s="99"/>
    </row>
    <row r="13" spans="2:7" ht="15.6" customHeight="1">
      <c r="B13" s="97"/>
      <c r="C13" s="97" t="s">
        <v>1</v>
      </c>
      <c r="D13" s="98">
        <v>11</v>
      </c>
      <c r="E13" s="98">
        <v>0</v>
      </c>
      <c r="F13" s="98">
        <v>11</v>
      </c>
      <c r="G13" s="99"/>
    </row>
    <row r="14" spans="2:7" ht="15.6" customHeight="1">
      <c r="B14" s="105"/>
      <c r="C14" s="105" t="s">
        <v>2</v>
      </c>
      <c r="D14" s="98">
        <v>30</v>
      </c>
      <c r="E14" s="98">
        <v>0</v>
      </c>
      <c r="F14" s="98">
        <v>30</v>
      </c>
      <c r="G14" s="106"/>
    </row>
    <row r="15" spans="2:7" ht="15.6" customHeight="1">
      <c r="B15" s="107"/>
      <c r="C15" s="107" t="s">
        <v>109</v>
      </c>
      <c r="D15" s="108">
        <v>4662</v>
      </c>
      <c r="E15" s="109">
        <v>1213</v>
      </c>
      <c r="F15" s="109">
        <v>3449</v>
      </c>
      <c r="G15" s="110"/>
    </row>
    <row r="16" spans="2:7" ht="15.6" customHeight="1">
      <c r="B16" s="97"/>
      <c r="C16" s="97" t="s">
        <v>4</v>
      </c>
      <c r="D16" s="98">
        <v>951</v>
      </c>
      <c r="E16" s="98">
        <v>0</v>
      </c>
      <c r="F16" s="98">
        <v>951</v>
      </c>
      <c r="G16" s="99"/>
    </row>
    <row r="17" spans="1:7" ht="15.6" customHeight="1">
      <c r="B17" s="97"/>
      <c r="C17" s="97" t="s">
        <v>5</v>
      </c>
      <c r="D17" s="98">
        <v>2634</v>
      </c>
      <c r="E17" s="98">
        <v>625</v>
      </c>
      <c r="F17" s="98">
        <v>2009</v>
      </c>
      <c r="G17" s="99"/>
    </row>
    <row r="18" spans="1:7" ht="15.6" customHeight="1">
      <c r="B18" s="97"/>
      <c r="C18" s="97" t="s">
        <v>6</v>
      </c>
      <c r="D18" s="98">
        <v>220</v>
      </c>
      <c r="E18" s="98">
        <v>0</v>
      </c>
      <c r="F18" s="98">
        <v>220</v>
      </c>
      <c r="G18" s="99"/>
    </row>
    <row r="19" spans="1:7" ht="15.6" customHeight="1">
      <c r="B19" s="97"/>
      <c r="C19" s="97" t="s">
        <v>7</v>
      </c>
      <c r="D19" s="98">
        <v>857</v>
      </c>
      <c r="E19" s="98">
        <v>588</v>
      </c>
      <c r="F19" s="98">
        <v>269</v>
      </c>
      <c r="G19" s="99"/>
    </row>
    <row r="20" spans="1:7" s="12" customFormat="1" ht="12">
      <c r="A20" s="11"/>
      <c r="B20" s="111"/>
      <c r="C20" s="111" t="s">
        <v>110</v>
      </c>
      <c r="D20" s="112">
        <v>-673</v>
      </c>
      <c r="E20" s="112">
        <v>-325</v>
      </c>
      <c r="F20" s="112">
        <v>-348</v>
      </c>
      <c r="G20" s="113"/>
    </row>
    <row r="21" spans="1:7" ht="15.6" customHeight="1">
      <c r="B21" s="114"/>
      <c r="C21" s="114" t="s">
        <v>8</v>
      </c>
      <c r="D21" s="115">
        <v>2018</v>
      </c>
      <c r="E21" s="115">
        <v>181</v>
      </c>
      <c r="F21" s="115">
        <v>1837</v>
      </c>
      <c r="G21" s="116"/>
    </row>
    <row r="22" spans="1:7" ht="15.6" customHeight="1">
      <c r="B22" s="114"/>
      <c r="C22" s="114" t="s">
        <v>9</v>
      </c>
      <c r="D22" s="115">
        <v>358</v>
      </c>
      <c r="E22" s="115">
        <v>311</v>
      </c>
      <c r="F22" s="115">
        <v>47</v>
      </c>
      <c r="G22" s="116"/>
    </row>
    <row r="23" spans="1:7" ht="15.6" customHeight="1">
      <c r="B23" s="114"/>
      <c r="C23" s="114" t="s">
        <v>26</v>
      </c>
      <c r="D23" s="115">
        <v>3</v>
      </c>
      <c r="E23" s="115">
        <v>0</v>
      </c>
      <c r="F23" s="115">
        <v>3</v>
      </c>
      <c r="G23" s="116"/>
    </row>
    <row r="24" spans="1:7" ht="15.6" customHeight="1">
      <c r="B24" s="107"/>
      <c r="C24" s="107" t="s">
        <v>10</v>
      </c>
      <c r="D24" s="108">
        <v>4</v>
      </c>
      <c r="E24" s="109">
        <v>1</v>
      </c>
      <c r="F24" s="109">
        <v>3</v>
      </c>
      <c r="G24" s="110"/>
    </row>
    <row r="25" spans="1:7" ht="15.6" customHeight="1">
      <c r="A25" s="13"/>
      <c r="B25" s="117"/>
      <c r="C25" s="117" t="s">
        <v>111</v>
      </c>
      <c r="D25" s="98">
        <v>0</v>
      </c>
      <c r="E25" s="98">
        <v>0</v>
      </c>
      <c r="F25" s="98">
        <v>0</v>
      </c>
      <c r="G25" s="99"/>
    </row>
    <row r="26" spans="1:7" ht="15.6" customHeight="1">
      <c r="A26" s="13"/>
      <c r="B26" s="117"/>
      <c r="C26" s="117" t="s">
        <v>112</v>
      </c>
      <c r="D26" s="98">
        <v>0</v>
      </c>
      <c r="E26" s="98">
        <v>0</v>
      </c>
      <c r="F26" s="98">
        <v>0</v>
      </c>
      <c r="G26" s="99"/>
    </row>
    <row r="27" spans="1:7" ht="15.6" customHeight="1">
      <c r="A27" s="13"/>
      <c r="B27" s="118"/>
      <c r="C27" s="118" t="s">
        <v>113</v>
      </c>
      <c r="D27" s="98">
        <v>4</v>
      </c>
      <c r="E27" s="98">
        <v>1</v>
      </c>
      <c r="F27" s="98">
        <v>3</v>
      </c>
      <c r="G27" s="106"/>
    </row>
    <row r="28" spans="1:7" ht="15.6" customHeight="1">
      <c r="B28" s="107"/>
      <c r="C28" s="107" t="s">
        <v>167</v>
      </c>
      <c r="D28" s="108">
        <v>206</v>
      </c>
      <c r="E28" s="109">
        <v>37</v>
      </c>
      <c r="F28" s="109">
        <v>169</v>
      </c>
      <c r="G28" s="110"/>
    </row>
    <row r="29" spans="1:7" ht="15.6" customHeight="1">
      <c r="B29" s="117"/>
      <c r="C29" s="117" t="s">
        <v>11</v>
      </c>
      <c r="D29" s="98">
        <v>131</v>
      </c>
      <c r="E29" s="98">
        <v>0</v>
      </c>
      <c r="F29" s="98">
        <v>131</v>
      </c>
      <c r="G29" s="99"/>
    </row>
    <row r="30" spans="1:7" ht="15.6" customHeight="1">
      <c r="B30" s="119"/>
      <c r="C30" s="119" t="s">
        <v>12</v>
      </c>
      <c r="D30" s="98">
        <v>75</v>
      </c>
      <c r="E30" s="98">
        <v>37</v>
      </c>
      <c r="F30" s="98">
        <v>38</v>
      </c>
      <c r="G30" s="106"/>
    </row>
    <row r="31" spans="1:7" ht="15.6" customHeight="1">
      <c r="B31" s="120"/>
      <c r="C31" s="120" t="s">
        <v>30</v>
      </c>
      <c r="D31" s="115">
        <v>0</v>
      </c>
      <c r="E31" s="115">
        <v>0</v>
      </c>
      <c r="F31" s="115">
        <v>0</v>
      </c>
      <c r="G31" s="116"/>
    </row>
    <row r="32" spans="1:7" ht="15.6" customHeight="1">
      <c r="B32" s="120"/>
      <c r="C32" s="120" t="s">
        <v>13</v>
      </c>
      <c r="D32" s="115">
        <v>1</v>
      </c>
      <c r="E32" s="115">
        <v>0</v>
      </c>
      <c r="F32" s="115">
        <v>1</v>
      </c>
      <c r="G32" s="116"/>
    </row>
    <row r="33" spans="1:7" ht="15.6" customHeight="1">
      <c r="A33" s="13"/>
      <c r="B33" s="107"/>
      <c r="C33" s="107" t="s">
        <v>14</v>
      </c>
      <c r="D33" s="108">
        <v>34</v>
      </c>
      <c r="E33" s="109">
        <v>29</v>
      </c>
      <c r="F33" s="109">
        <v>5</v>
      </c>
      <c r="G33" s="110"/>
    </row>
    <row r="34" spans="1:7" ht="15.6" customHeight="1">
      <c r="B34" s="117"/>
      <c r="C34" s="117" t="s">
        <v>32</v>
      </c>
      <c r="D34" s="98">
        <v>1</v>
      </c>
      <c r="E34" s="98">
        <v>0</v>
      </c>
      <c r="F34" s="98">
        <v>1</v>
      </c>
      <c r="G34" s="99"/>
    </row>
    <row r="35" spans="1:7" ht="15.6" customHeight="1">
      <c r="B35" s="117"/>
      <c r="C35" s="117" t="s">
        <v>33</v>
      </c>
      <c r="D35" s="98">
        <v>26</v>
      </c>
      <c r="E35" s="98">
        <v>26</v>
      </c>
      <c r="F35" s="98">
        <v>0</v>
      </c>
      <c r="G35" s="99"/>
    </row>
    <row r="36" spans="1:7" ht="15.6" customHeight="1">
      <c r="B36" s="117"/>
      <c r="C36" s="117" t="s">
        <v>34</v>
      </c>
      <c r="D36" s="98">
        <v>3</v>
      </c>
      <c r="E36" s="98">
        <v>0</v>
      </c>
      <c r="F36" s="98">
        <v>3</v>
      </c>
      <c r="G36" s="99"/>
    </row>
    <row r="37" spans="1:7" ht="15.6" customHeight="1">
      <c r="B37" s="118"/>
      <c r="C37" s="118" t="s">
        <v>35</v>
      </c>
      <c r="D37" s="98">
        <v>4</v>
      </c>
      <c r="E37" s="98">
        <v>3</v>
      </c>
      <c r="F37" s="98">
        <v>1</v>
      </c>
      <c r="G37" s="106"/>
    </row>
    <row r="38" spans="1:7" ht="15.6" customHeight="1">
      <c r="A38" s="13"/>
      <c r="B38" s="107"/>
      <c r="C38" s="107" t="s">
        <v>114</v>
      </c>
      <c r="D38" s="108">
        <v>119</v>
      </c>
      <c r="E38" s="109">
        <v>76</v>
      </c>
      <c r="F38" s="109">
        <v>43</v>
      </c>
      <c r="G38" s="110"/>
    </row>
    <row r="39" spans="1:7" ht="15.6" customHeight="1">
      <c r="B39" s="121"/>
      <c r="C39" s="121" t="s">
        <v>115</v>
      </c>
      <c r="D39" s="122">
        <v>27</v>
      </c>
      <c r="E39" s="122">
        <v>0</v>
      </c>
      <c r="F39" s="122">
        <v>27</v>
      </c>
      <c r="G39" s="123"/>
    </row>
    <row r="40" spans="1:7" ht="15.6" customHeight="1">
      <c r="B40" s="117"/>
      <c r="C40" s="117" t="s">
        <v>49</v>
      </c>
      <c r="D40" s="98">
        <v>79</v>
      </c>
      <c r="E40" s="98">
        <v>67</v>
      </c>
      <c r="F40" s="98">
        <v>12</v>
      </c>
      <c r="G40" s="99"/>
    </row>
    <row r="41" spans="1:7" ht="15.6" customHeight="1">
      <c r="B41" s="117"/>
      <c r="C41" s="117" t="s">
        <v>116</v>
      </c>
      <c r="D41" s="98">
        <v>4</v>
      </c>
      <c r="E41" s="98">
        <v>0</v>
      </c>
      <c r="F41" s="98">
        <v>4</v>
      </c>
      <c r="G41" s="99"/>
    </row>
    <row r="42" spans="1:7" ht="15.6" customHeight="1">
      <c r="B42" s="118"/>
      <c r="C42" s="118" t="s">
        <v>51</v>
      </c>
      <c r="D42" s="98">
        <v>9</v>
      </c>
      <c r="E42" s="98">
        <v>9</v>
      </c>
      <c r="F42" s="98">
        <v>0</v>
      </c>
      <c r="G42" s="106"/>
    </row>
    <row r="43" spans="1:7" ht="15.6" customHeight="1">
      <c r="B43" s="107"/>
      <c r="C43" s="107" t="s">
        <v>15</v>
      </c>
      <c r="D43" s="108">
        <v>2394</v>
      </c>
      <c r="E43" s="109">
        <v>2394</v>
      </c>
      <c r="F43" s="109">
        <v>0</v>
      </c>
      <c r="G43" s="110"/>
    </row>
    <row r="44" spans="1:7" ht="15.6" customHeight="1">
      <c r="B44" s="117"/>
      <c r="C44" s="117" t="s">
        <v>153</v>
      </c>
      <c r="D44" s="98">
        <v>485</v>
      </c>
      <c r="E44" s="98">
        <v>485</v>
      </c>
      <c r="F44" s="98">
        <v>0</v>
      </c>
      <c r="G44" s="99"/>
    </row>
    <row r="45" spans="1:7" ht="15.6" customHeight="1">
      <c r="B45" s="117"/>
      <c r="C45" s="117" t="s">
        <v>37</v>
      </c>
      <c r="D45" s="98">
        <v>1902</v>
      </c>
      <c r="E45" s="98">
        <v>1902</v>
      </c>
      <c r="F45" s="98">
        <v>0</v>
      </c>
      <c r="G45" s="99"/>
    </row>
    <row r="46" spans="1:7" ht="15.6" customHeight="1">
      <c r="B46" s="118"/>
      <c r="C46" s="118" t="s">
        <v>155</v>
      </c>
      <c r="D46" s="98">
        <v>7</v>
      </c>
      <c r="E46" s="98">
        <v>7</v>
      </c>
      <c r="F46" s="98">
        <v>0</v>
      </c>
      <c r="G46" s="106"/>
    </row>
    <row r="47" spans="1:7" ht="15.6" customHeight="1">
      <c r="A47" s="31"/>
      <c r="B47" s="114"/>
      <c r="C47" s="114" t="s">
        <v>52</v>
      </c>
      <c r="D47" s="115">
        <v>509</v>
      </c>
      <c r="E47" s="115">
        <v>509</v>
      </c>
      <c r="F47" s="115">
        <v>0</v>
      </c>
      <c r="G47" s="116"/>
    </row>
    <row r="48" spans="1:7" ht="15.6" customHeight="1">
      <c r="A48" s="13"/>
      <c r="B48" s="114"/>
      <c r="C48" s="114" t="s">
        <v>117</v>
      </c>
      <c r="D48" s="115">
        <v>3</v>
      </c>
      <c r="E48" s="115">
        <v>3</v>
      </c>
      <c r="F48" s="115">
        <v>0</v>
      </c>
      <c r="G48" s="116"/>
    </row>
    <row r="49" spans="1:7" ht="15.6" customHeight="1">
      <c r="A49" s="13"/>
      <c r="B49" s="107"/>
      <c r="C49" s="107" t="s">
        <v>16</v>
      </c>
      <c r="D49" s="108">
        <v>14</v>
      </c>
      <c r="E49" s="109">
        <v>11</v>
      </c>
      <c r="F49" s="109">
        <v>3</v>
      </c>
      <c r="G49" s="110"/>
    </row>
    <row r="50" spans="1:7" ht="15.6" customHeight="1">
      <c r="B50" s="97"/>
      <c r="C50" s="97" t="s">
        <v>158</v>
      </c>
      <c r="D50" s="98">
        <v>0</v>
      </c>
      <c r="E50" s="98">
        <v>0</v>
      </c>
      <c r="F50" s="98">
        <v>0</v>
      </c>
      <c r="G50" s="99"/>
    </row>
    <row r="51" spans="1:7" ht="15.6" customHeight="1">
      <c r="B51" s="97"/>
      <c r="C51" s="97" t="s">
        <v>118</v>
      </c>
      <c r="D51" s="98">
        <v>11</v>
      </c>
      <c r="E51" s="98">
        <v>8</v>
      </c>
      <c r="F51" s="98">
        <v>3</v>
      </c>
      <c r="G51" s="99"/>
    </row>
    <row r="52" spans="1:7" ht="15.6" customHeight="1">
      <c r="B52" s="105"/>
      <c r="C52" s="105" t="s">
        <v>142</v>
      </c>
      <c r="D52" s="98">
        <v>3</v>
      </c>
      <c r="E52" s="98">
        <v>3</v>
      </c>
      <c r="F52" s="98">
        <v>0</v>
      </c>
      <c r="G52" s="106"/>
    </row>
    <row r="53" spans="1:7" ht="15.6" customHeight="1">
      <c r="A53" s="13"/>
      <c r="B53" s="107"/>
      <c r="C53" s="107" t="s">
        <v>17</v>
      </c>
      <c r="D53" s="108">
        <v>45</v>
      </c>
      <c r="E53" s="109">
        <v>36</v>
      </c>
      <c r="F53" s="109">
        <v>9</v>
      </c>
      <c r="G53" s="110"/>
    </row>
    <row r="54" spans="1:7" ht="15.6" customHeight="1">
      <c r="B54" s="97"/>
      <c r="C54" s="97" t="s">
        <v>160</v>
      </c>
      <c r="D54" s="98">
        <v>0</v>
      </c>
      <c r="E54" s="98">
        <v>0</v>
      </c>
      <c r="F54" s="98">
        <v>0</v>
      </c>
      <c r="G54" s="99"/>
    </row>
    <row r="55" spans="1:7" ht="15.6" customHeight="1">
      <c r="B55" s="97"/>
      <c r="C55" s="97" t="s">
        <v>39</v>
      </c>
      <c r="D55" s="98">
        <v>16</v>
      </c>
      <c r="E55" s="98">
        <v>15</v>
      </c>
      <c r="F55" s="98">
        <v>1</v>
      </c>
      <c r="G55" s="99"/>
    </row>
    <row r="56" spans="1:7" ht="15.6" customHeight="1">
      <c r="B56" s="105"/>
      <c r="C56" s="105" t="s">
        <v>40</v>
      </c>
      <c r="D56" s="98">
        <v>29</v>
      </c>
      <c r="E56" s="98">
        <v>21</v>
      </c>
      <c r="F56" s="98">
        <v>8</v>
      </c>
      <c r="G56" s="106"/>
    </row>
    <row r="57" spans="1:7" ht="15.6" customHeight="1" thickBot="1">
      <c r="B57" s="124"/>
      <c r="C57" s="124" t="s">
        <v>119</v>
      </c>
      <c r="D57" s="125">
        <v>1207</v>
      </c>
      <c r="E57" s="125">
        <v>1207</v>
      </c>
      <c r="F57" s="125">
        <v>0</v>
      </c>
      <c r="G57" s="126"/>
    </row>
    <row r="58" spans="1:7" s="13" customFormat="1" ht="2.25" customHeight="1">
      <c r="B58" s="127"/>
      <c r="C58" s="97"/>
      <c r="D58" s="128"/>
      <c r="E58" s="128"/>
      <c r="F58" s="128"/>
      <c r="G58" s="129"/>
    </row>
    <row r="59" spans="1:7" s="5" customFormat="1" ht="11.25" customHeight="1">
      <c r="B59" s="130" t="s">
        <v>100</v>
      </c>
      <c r="C59" s="131"/>
      <c r="D59" s="132"/>
      <c r="E59" s="132"/>
      <c r="F59" s="133"/>
      <c r="G59" s="80"/>
    </row>
    <row r="60" spans="1:7" s="4" customFormat="1" ht="11.25">
      <c r="B60" s="134" t="s">
        <v>101</v>
      </c>
      <c r="C60" s="135"/>
      <c r="D60" s="136"/>
      <c r="E60" s="136"/>
      <c r="F60" s="137"/>
      <c r="G60" s="138"/>
    </row>
    <row r="61" spans="1:7" s="4" customFormat="1" ht="11.25" customHeight="1">
      <c r="B61" s="134" t="s">
        <v>102</v>
      </c>
      <c r="C61" s="139"/>
      <c r="D61" s="136"/>
      <c r="E61" s="132"/>
      <c r="F61" s="140"/>
      <c r="G61" s="79"/>
    </row>
    <row r="62" spans="1:7" s="4" customFormat="1" ht="14.1" customHeight="1">
      <c r="B62" s="134" t="s">
        <v>103</v>
      </c>
      <c r="C62" s="139"/>
      <c r="D62" s="136"/>
      <c r="E62" s="132"/>
      <c r="F62" s="140"/>
      <c r="G62" s="79"/>
    </row>
    <row r="63" spans="1:7" s="4" customFormat="1" ht="14.1" customHeight="1">
      <c r="B63" s="134" t="s">
        <v>104</v>
      </c>
      <c r="C63" s="139"/>
      <c r="D63" s="136"/>
      <c r="E63" s="132"/>
      <c r="F63" s="140"/>
      <c r="G63" s="79"/>
    </row>
    <row r="64" spans="1:7" s="17" customFormat="1" ht="17.100000000000001" customHeight="1">
      <c r="A64" s="4"/>
      <c r="B64" s="3"/>
      <c r="C64" s="16"/>
      <c r="D64" s="15"/>
      <c r="E64" s="14"/>
      <c r="F64" s="15"/>
      <c r="G64" s="4"/>
    </row>
    <row r="65" spans="4:6" ht="17.100000000000001" customHeight="1">
      <c r="D65" s="18"/>
      <c r="E65" s="19"/>
      <c r="F65" s="18"/>
    </row>
    <row r="66" spans="4:6" ht="17.100000000000001" customHeight="1">
      <c r="D66" s="18"/>
      <c r="E66" s="19"/>
      <c r="F66" s="18"/>
    </row>
  </sheetData>
  <mergeCells count="2">
    <mergeCell ref="B1:G1"/>
    <mergeCell ref="B2:G2"/>
  </mergeCells>
  <phoneticPr fontId="17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75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66"/>
  <sheetViews>
    <sheetView showGridLines="0" zoomScale="85" zoomScaleNormal="85" workbookViewId="0">
      <selection activeCell="E10" sqref="E10"/>
    </sheetView>
  </sheetViews>
  <sheetFormatPr defaultColWidth="1.7109375" defaultRowHeight="17.100000000000001" customHeight="1"/>
  <cols>
    <col min="1" max="1" width="2.28515625" style="10" customWidth="1"/>
    <col min="2" max="2" width="2.28515625" style="20" customWidth="1"/>
    <col min="3" max="3" width="29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2.28515625" style="10" customWidth="1"/>
    <col min="8" max="255" width="9.140625" style="9" customWidth="1"/>
    <col min="256" max="16384" width="1.7109375" style="9"/>
  </cols>
  <sheetData>
    <row r="1" spans="2:7" s="1" customFormat="1" ht="21.95" customHeight="1">
      <c r="B1" s="249" t="s">
        <v>105</v>
      </c>
      <c r="C1" s="249"/>
      <c r="D1" s="249"/>
      <c r="E1" s="249"/>
      <c r="F1" s="249"/>
      <c r="G1" s="249"/>
    </row>
    <row r="2" spans="2:7" s="2" customFormat="1" ht="15" customHeight="1">
      <c r="B2" s="250" t="s">
        <v>195</v>
      </c>
      <c r="C2" s="250"/>
      <c r="D2" s="250"/>
      <c r="E2" s="250"/>
      <c r="F2" s="250"/>
      <c r="G2" s="250"/>
    </row>
    <row r="3" spans="2:7" s="4" customFormat="1" ht="11.1" customHeight="1" thickBot="1">
      <c r="B3" s="77"/>
      <c r="C3" s="78"/>
      <c r="D3" s="79"/>
      <c r="E3" s="80"/>
      <c r="F3" s="81" t="s">
        <v>54</v>
      </c>
      <c r="G3" s="81"/>
    </row>
    <row r="4" spans="2:7" s="6" customFormat="1" ht="15.6" customHeight="1">
      <c r="B4" s="82"/>
      <c r="C4" s="83" t="s">
        <v>95</v>
      </c>
      <c r="D4" s="84" t="s">
        <v>55</v>
      </c>
      <c r="E4" s="84" t="s">
        <v>56</v>
      </c>
      <c r="F4" s="84" t="s">
        <v>57</v>
      </c>
      <c r="G4" s="85"/>
    </row>
    <row r="5" spans="2:7" s="7" customFormat="1" ht="20.100000000000001" customHeight="1">
      <c r="B5" s="86"/>
      <c r="C5" s="87" t="s">
        <v>106</v>
      </c>
      <c r="D5" s="88">
        <f>SUM(D7,D11,D15,D21,D22,D23,D24,D28,D31,D32,D33,D38,D43,D47,D48,D49,D53,D57)</f>
        <v>79</v>
      </c>
      <c r="E5" s="88">
        <f t="shared" ref="E5:F5" si="0">SUM(E7,E11,E15,E21,E22,E23,E24,E28,E31,E32,E33,E38,E43,E47,E48,E49,E53,E57)</f>
        <v>8</v>
      </c>
      <c r="F5" s="88">
        <f t="shared" si="0"/>
        <v>71</v>
      </c>
      <c r="G5" s="89"/>
    </row>
    <row r="6" spans="2:7" s="8" customFormat="1" ht="15" customHeight="1" thickBot="1">
      <c r="B6" s="90"/>
      <c r="C6" s="91" t="s">
        <v>107</v>
      </c>
      <c r="D6" s="92">
        <v>-10</v>
      </c>
      <c r="E6" s="92">
        <v>0</v>
      </c>
      <c r="F6" s="92">
        <v>-10</v>
      </c>
      <c r="G6" s="93"/>
    </row>
    <row r="7" spans="2:7" ht="15.6" customHeight="1" thickTop="1">
      <c r="B7" s="94"/>
      <c r="C7" s="94" t="s">
        <v>108</v>
      </c>
      <c r="D7" s="95">
        <v>1</v>
      </c>
      <c r="E7" s="95">
        <v>0</v>
      </c>
      <c r="F7" s="95">
        <v>1</v>
      </c>
      <c r="G7" s="96"/>
    </row>
    <row r="8" spans="2:7" ht="15.6" customHeight="1">
      <c r="B8" s="97"/>
      <c r="C8" s="97" t="s">
        <v>0</v>
      </c>
      <c r="D8" s="98">
        <v>1</v>
      </c>
      <c r="E8" s="98">
        <v>0</v>
      </c>
      <c r="F8" s="98">
        <v>1</v>
      </c>
      <c r="G8" s="99"/>
    </row>
    <row r="9" spans="2:7" ht="15.6" customHeight="1">
      <c r="B9" s="97"/>
      <c r="C9" s="97" t="s">
        <v>1</v>
      </c>
      <c r="D9" s="98">
        <v>0</v>
      </c>
      <c r="E9" s="98">
        <v>0</v>
      </c>
      <c r="F9" s="98">
        <v>0</v>
      </c>
      <c r="G9" s="99"/>
    </row>
    <row r="10" spans="2:7" ht="15.6" customHeight="1">
      <c r="B10" s="97"/>
      <c r="C10" s="97" t="s">
        <v>2</v>
      </c>
      <c r="D10" s="98">
        <v>0</v>
      </c>
      <c r="E10" s="98">
        <v>0</v>
      </c>
      <c r="F10" s="98">
        <v>0</v>
      </c>
      <c r="G10" s="100"/>
    </row>
    <row r="11" spans="2:7" ht="15.6" customHeight="1">
      <c r="B11" s="101"/>
      <c r="C11" s="101" t="s">
        <v>3</v>
      </c>
      <c r="D11" s="102">
        <v>5</v>
      </c>
      <c r="E11" s="103">
        <v>0</v>
      </c>
      <c r="F11" s="103">
        <v>5</v>
      </c>
      <c r="G11" s="104"/>
    </row>
    <row r="12" spans="2:7" ht="15.6" customHeight="1">
      <c r="B12" s="97"/>
      <c r="C12" s="97" t="s">
        <v>0</v>
      </c>
      <c r="D12" s="98">
        <v>2</v>
      </c>
      <c r="E12" s="98">
        <v>0</v>
      </c>
      <c r="F12" s="98">
        <v>2</v>
      </c>
      <c r="G12" s="99"/>
    </row>
    <row r="13" spans="2:7" ht="15.6" customHeight="1">
      <c r="B13" s="97"/>
      <c r="C13" s="97" t="s">
        <v>1</v>
      </c>
      <c r="D13" s="98">
        <v>2</v>
      </c>
      <c r="E13" s="98">
        <v>0</v>
      </c>
      <c r="F13" s="98">
        <v>2</v>
      </c>
      <c r="G13" s="99"/>
    </row>
    <row r="14" spans="2:7" ht="15.6" customHeight="1">
      <c r="B14" s="105"/>
      <c r="C14" s="105" t="s">
        <v>2</v>
      </c>
      <c r="D14" s="98">
        <v>1</v>
      </c>
      <c r="E14" s="98">
        <v>0</v>
      </c>
      <c r="F14" s="98">
        <v>1</v>
      </c>
      <c r="G14" s="106"/>
    </row>
    <row r="15" spans="2:7" ht="15.6" customHeight="1">
      <c r="B15" s="107"/>
      <c r="C15" s="107" t="s">
        <v>109</v>
      </c>
      <c r="D15" s="108">
        <v>39</v>
      </c>
      <c r="E15" s="109">
        <v>1</v>
      </c>
      <c r="F15" s="109">
        <v>38</v>
      </c>
      <c r="G15" s="110"/>
    </row>
    <row r="16" spans="2:7" ht="15.6" customHeight="1">
      <c r="B16" s="97"/>
      <c r="C16" s="97" t="s">
        <v>4</v>
      </c>
      <c r="D16" s="98">
        <v>12</v>
      </c>
      <c r="E16" s="98">
        <v>0</v>
      </c>
      <c r="F16" s="98">
        <v>12</v>
      </c>
      <c r="G16" s="99"/>
    </row>
    <row r="17" spans="1:7" ht="15.6" customHeight="1">
      <c r="B17" s="97"/>
      <c r="C17" s="97" t="s">
        <v>5</v>
      </c>
      <c r="D17" s="98">
        <v>23</v>
      </c>
      <c r="E17" s="98">
        <v>1</v>
      </c>
      <c r="F17" s="98">
        <v>22</v>
      </c>
      <c r="G17" s="99"/>
    </row>
    <row r="18" spans="1:7" ht="15.6" customHeight="1">
      <c r="B18" s="97"/>
      <c r="C18" s="97" t="s">
        <v>6</v>
      </c>
      <c r="D18" s="98">
        <v>1</v>
      </c>
      <c r="E18" s="98">
        <v>0</v>
      </c>
      <c r="F18" s="98">
        <v>1</v>
      </c>
      <c r="G18" s="99"/>
    </row>
    <row r="19" spans="1:7" ht="15.6" customHeight="1">
      <c r="B19" s="97"/>
      <c r="C19" s="97" t="s">
        <v>7</v>
      </c>
      <c r="D19" s="98">
        <v>3</v>
      </c>
      <c r="E19" s="98">
        <v>0</v>
      </c>
      <c r="F19" s="98">
        <v>3</v>
      </c>
      <c r="G19" s="99"/>
    </row>
    <row r="20" spans="1:7" s="12" customFormat="1" ht="12">
      <c r="A20" s="11"/>
      <c r="B20" s="111"/>
      <c r="C20" s="111" t="s">
        <v>110</v>
      </c>
      <c r="D20" s="112">
        <v>-10</v>
      </c>
      <c r="E20" s="112">
        <v>0</v>
      </c>
      <c r="F20" s="112">
        <v>-10</v>
      </c>
      <c r="G20" s="113"/>
    </row>
    <row r="21" spans="1:7" ht="15.6" customHeight="1">
      <c r="B21" s="114"/>
      <c r="C21" s="114" t="s">
        <v>8</v>
      </c>
      <c r="D21" s="115">
        <v>28</v>
      </c>
      <c r="E21" s="115">
        <v>3</v>
      </c>
      <c r="F21" s="115">
        <v>25</v>
      </c>
      <c r="G21" s="116"/>
    </row>
    <row r="22" spans="1:7" ht="15.6" customHeight="1">
      <c r="B22" s="114"/>
      <c r="C22" s="114" t="s">
        <v>9</v>
      </c>
      <c r="D22" s="115">
        <v>0</v>
      </c>
      <c r="E22" s="115">
        <v>0</v>
      </c>
      <c r="F22" s="115">
        <v>0</v>
      </c>
      <c r="G22" s="116"/>
    </row>
    <row r="23" spans="1:7" ht="15.6" customHeight="1">
      <c r="B23" s="114"/>
      <c r="C23" s="114" t="s">
        <v>26</v>
      </c>
      <c r="D23" s="115">
        <v>0</v>
      </c>
      <c r="E23" s="115">
        <v>0</v>
      </c>
      <c r="F23" s="115">
        <v>0</v>
      </c>
      <c r="G23" s="116"/>
    </row>
    <row r="24" spans="1:7" ht="15.6" customHeight="1">
      <c r="B24" s="107"/>
      <c r="C24" s="107" t="s">
        <v>10</v>
      </c>
      <c r="D24" s="108">
        <v>0</v>
      </c>
      <c r="E24" s="109">
        <v>0</v>
      </c>
      <c r="F24" s="109">
        <v>0</v>
      </c>
      <c r="G24" s="110"/>
    </row>
    <row r="25" spans="1:7" ht="15.6" customHeight="1">
      <c r="A25" s="13"/>
      <c r="B25" s="117"/>
      <c r="C25" s="117" t="s">
        <v>111</v>
      </c>
      <c r="D25" s="98">
        <v>0</v>
      </c>
      <c r="E25" s="98">
        <v>0</v>
      </c>
      <c r="F25" s="98">
        <v>0</v>
      </c>
      <c r="G25" s="99"/>
    </row>
    <row r="26" spans="1:7" ht="15.6" customHeight="1">
      <c r="A26" s="13"/>
      <c r="B26" s="117"/>
      <c r="C26" s="117" t="s">
        <v>112</v>
      </c>
      <c r="D26" s="98">
        <v>0</v>
      </c>
      <c r="E26" s="98">
        <v>0</v>
      </c>
      <c r="F26" s="98">
        <v>0</v>
      </c>
      <c r="G26" s="99"/>
    </row>
    <row r="27" spans="1:7" ht="15.6" customHeight="1">
      <c r="A27" s="13"/>
      <c r="B27" s="118"/>
      <c r="C27" s="118" t="s">
        <v>113</v>
      </c>
      <c r="D27" s="98">
        <v>0</v>
      </c>
      <c r="E27" s="98">
        <v>0</v>
      </c>
      <c r="F27" s="98">
        <v>0</v>
      </c>
      <c r="G27" s="106"/>
    </row>
    <row r="28" spans="1:7" ht="15.6" customHeight="1">
      <c r="B28" s="107"/>
      <c r="C28" s="107" t="s">
        <v>167</v>
      </c>
      <c r="D28" s="108">
        <v>0</v>
      </c>
      <c r="E28" s="109">
        <v>0</v>
      </c>
      <c r="F28" s="109">
        <v>0</v>
      </c>
      <c r="G28" s="110"/>
    </row>
    <row r="29" spans="1:7" ht="15.6" customHeight="1">
      <c r="B29" s="117"/>
      <c r="C29" s="117" t="s">
        <v>11</v>
      </c>
      <c r="D29" s="98">
        <v>0</v>
      </c>
      <c r="E29" s="98">
        <v>0</v>
      </c>
      <c r="F29" s="98">
        <v>0</v>
      </c>
      <c r="G29" s="99"/>
    </row>
    <row r="30" spans="1:7" ht="15.6" customHeight="1">
      <c r="B30" s="119"/>
      <c r="C30" s="119" t="s">
        <v>12</v>
      </c>
      <c r="D30" s="98">
        <v>0</v>
      </c>
      <c r="E30" s="98">
        <v>0</v>
      </c>
      <c r="F30" s="98">
        <v>0</v>
      </c>
      <c r="G30" s="106"/>
    </row>
    <row r="31" spans="1:7" ht="15.6" customHeight="1">
      <c r="B31" s="120"/>
      <c r="C31" s="120" t="s">
        <v>30</v>
      </c>
      <c r="D31" s="115">
        <v>0</v>
      </c>
      <c r="E31" s="115">
        <v>0</v>
      </c>
      <c r="F31" s="115">
        <v>0</v>
      </c>
      <c r="G31" s="116"/>
    </row>
    <row r="32" spans="1:7" ht="15.6" customHeight="1">
      <c r="B32" s="120"/>
      <c r="C32" s="120" t="s">
        <v>13</v>
      </c>
      <c r="D32" s="115">
        <v>0</v>
      </c>
      <c r="E32" s="115">
        <v>0</v>
      </c>
      <c r="F32" s="115">
        <v>0</v>
      </c>
      <c r="G32" s="116"/>
    </row>
    <row r="33" spans="1:7" ht="15.6" customHeight="1">
      <c r="A33" s="13"/>
      <c r="B33" s="107"/>
      <c r="C33" s="107" t="s">
        <v>14</v>
      </c>
      <c r="D33" s="108">
        <v>0</v>
      </c>
      <c r="E33" s="109">
        <v>0</v>
      </c>
      <c r="F33" s="109">
        <v>0</v>
      </c>
      <c r="G33" s="110"/>
    </row>
    <row r="34" spans="1:7" ht="15.6" customHeight="1">
      <c r="B34" s="117"/>
      <c r="C34" s="117" t="s">
        <v>32</v>
      </c>
      <c r="D34" s="98">
        <v>0</v>
      </c>
      <c r="E34" s="98">
        <v>0</v>
      </c>
      <c r="F34" s="98">
        <v>0</v>
      </c>
      <c r="G34" s="99"/>
    </row>
    <row r="35" spans="1:7" ht="15.6" customHeight="1">
      <c r="B35" s="117"/>
      <c r="C35" s="117" t="s">
        <v>33</v>
      </c>
      <c r="D35" s="98">
        <v>0</v>
      </c>
      <c r="E35" s="98">
        <v>0</v>
      </c>
      <c r="F35" s="98">
        <v>0</v>
      </c>
      <c r="G35" s="99"/>
    </row>
    <row r="36" spans="1:7" ht="15.6" customHeight="1">
      <c r="B36" s="117"/>
      <c r="C36" s="117" t="s">
        <v>34</v>
      </c>
      <c r="D36" s="98">
        <v>0</v>
      </c>
      <c r="E36" s="98">
        <v>0</v>
      </c>
      <c r="F36" s="98">
        <v>0</v>
      </c>
      <c r="G36" s="99"/>
    </row>
    <row r="37" spans="1:7" ht="15.6" customHeight="1">
      <c r="B37" s="118"/>
      <c r="C37" s="118" t="s">
        <v>35</v>
      </c>
      <c r="D37" s="98">
        <v>0</v>
      </c>
      <c r="E37" s="98">
        <v>0</v>
      </c>
      <c r="F37" s="98">
        <v>0</v>
      </c>
      <c r="G37" s="106"/>
    </row>
    <row r="38" spans="1:7" ht="15.6" customHeight="1">
      <c r="A38" s="13"/>
      <c r="B38" s="107"/>
      <c r="C38" s="107" t="s">
        <v>114</v>
      </c>
      <c r="D38" s="108">
        <v>0</v>
      </c>
      <c r="E38" s="109">
        <v>0</v>
      </c>
      <c r="F38" s="109">
        <v>0</v>
      </c>
      <c r="G38" s="110"/>
    </row>
    <row r="39" spans="1:7" ht="15.6" customHeight="1">
      <c r="B39" s="121"/>
      <c r="C39" s="121" t="s">
        <v>115</v>
      </c>
      <c r="D39" s="122">
        <v>0</v>
      </c>
      <c r="E39" s="122">
        <v>0</v>
      </c>
      <c r="F39" s="122">
        <v>0</v>
      </c>
      <c r="G39" s="123"/>
    </row>
    <row r="40" spans="1:7" ht="15.6" customHeight="1">
      <c r="B40" s="117"/>
      <c r="C40" s="117" t="s">
        <v>49</v>
      </c>
      <c r="D40" s="98">
        <v>0</v>
      </c>
      <c r="E40" s="98">
        <v>0</v>
      </c>
      <c r="F40" s="98">
        <v>0</v>
      </c>
      <c r="G40" s="99"/>
    </row>
    <row r="41" spans="1:7" ht="15.6" customHeight="1">
      <c r="B41" s="117"/>
      <c r="C41" s="117" t="s">
        <v>116</v>
      </c>
      <c r="D41" s="98">
        <v>0</v>
      </c>
      <c r="E41" s="98">
        <v>0</v>
      </c>
      <c r="F41" s="98">
        <v>0</v>
      </c>
      <c r="G41" s="99"/>
    </row>
    <row r="42" spans="1:7" ht="15.6" customHeight="1">
      <c r="B42" s="118"/>
      <c r="C42" s="118" t="s">
        <v>51</v>
      </c>
      <c r="D42" s="98">
        <v>0</v>
      </c>
      <c r="E42" s="98">
        <v>0</v>
      </c>
      <c r="F42" s="98">
        <v>0</v>
      </c>
      <c r="G42" s="106"/>
    </row>
    <row r="43" spans="1:7" ht="15.6" customHeight="1">
      <c r="B43" s="107"/>
      <c r="C43" s="107" t="s">
        <v>15</v>
      </c>
      <c r="D43" s="108">
        <v>3</v>
      </c>
      <c r="E43" s="109">
        <v>3</v>
      </c>
      <c r="F43" s="109">
        <v>0</v>
      </c>
      <c r="G43" s="110"/>
    </row>
    <row r="44" spans="1:7" ht="15.6" customHeight="1">
      <c r="B44" s="117"/>
      <c r="C44" s="117" t="s">
        <v>153</v>
      </c>
      <c r="D44" s="98">
        <v>2</v>
      </c>
      <c r="E44" s="98">
        <v>2</v>
      </c>
      <c r="F44" s="98">
        <v>0</v>
      </c>
      <c r="G44" s="99"/>
    </row>
    <row r="45" spans="1:7" ht="15.6" customHeight="1">
      <c r="B45" s="117"/>
      <c r="C45" s="117" t="s">
        <v>37</v>
      </c>
      <c r="D45" s="98">
        <v>1</v>
      </c>
      <c r="E45" s="98">
        <v>1</v>
      </c>
      <c r="F45" s="98">
        <v>0</v>
      </c>
      <c r="G45" s="99"/>
    </row>
    <row r="46" spans="1:7" ht="15.6" customHeight="1">
      <c r="B46" s="118"/>
      <c r="C46" s="118" t="s">
        <v>155</v>
      </c>
      <c r="D46" s="98">
        <v>0</v>
      </c>
      <c r="E46" s="98">
        <v>0</v>
      </c>
      <c r="F46" s="98">
        <v>0</v>
      </c>
      <c r="G46" s="106"/>
    </row>
    <row r="47" spans="1:7" ht="15.6" customHeight="1">
      <c r="A47" s="13"/>
      <c r="B47" s="114"/>
      <c r="C47" s="114" t="s">
        <v>52</v>
      </c>
      <c r="D47" s="115">
        <v>1</v>
      </c>
      <c r="E47" s="115">
        <v>1</v>
      </c>
      <c r="F47" s="115">
        <v>0</v>
      </c>
      <c r="G47" s="116"/>
    </row>
    <row r="48" spans="1:7" ht="15.6" customHeight="1">
      <c r="A48" s="13"/>
      <c r="B48" s="114"/>
      <c r="C48" s="114" t="s">
        <v>117</v>
      </c>
      <c r="D48" s="115">
        <v>0</v>
      </c>
      <c r="E48" s="115">
        <v>0</v>
      </c>
      <c r="F48" s="115">
        <v>0</v>
      </c>
      <c r="G48" s="116"/>
    </row>
    <row r="49" spans="1:7" ht="15.6" customHeight="1">
      <c r="A49" s="13"/>
      <c r="B49" s="107"/>
      <c r="C49" s="107" t="s">
        <v>16</v>
      </c>
      <c r="D49" s="108">
        <v>0</v>
      </c>
      <c r="E49" s="109">
        <v>0</v>
      </c>
      <c r="F49" s="109">
        <v>0</v>
      </c>
      <c r="G49" s="110"/>
    </row>
    <row r="50" spans="1:7" ht="15.6" customHeight="1">
      <c r="B50" s="97"/>
      <c r="C50" s="97" t="s">
        <v>158</v>
      </c>
      <c r="D50" s="98">
        <v>0</v>
      </c>
      <c r="E50" s="98">
        <v>0</v>
      </c>
      <c r="F50" s="98">
        <v>0</v>
      </c>
      <c r="G50" s="99"/>
    </row>
    <row r="51" spans="1:7" ht="15.6" customHeight="1">
      <c r="B51" s="97"/>
      <c r="C51" s="97" t="s">
        <v>118</v>
      </c>
      <c r="D51" s="98">
        <v>0</v>
      </c>
      <c r="E51" s="98">
        <v>0</v>
      </c>
      <c r="F51" s="98">
        <v>0</v>
      </c>
      <c r="G51" s="99"/>
    </row>
    <row r="52" spans="1:7" ht="15.6" customHeight="1">
      <c r="B52" s="105"/>
      <c r="C52" s="105" t="s">
        <v>142</v>
      </c>
      <c r="D52" s="98">
        <v>0</v>
      </c>
      <c r="E52" s="98">
        <v>0</v>
      </c>
      <c r="F52" s="98">
        <v>0</v>
      </c>
      <c r="G52" s="106"/>
    </row>
    <row r="53" spans="1:7" ht="15.6" customHeight="1">
      <c r="A53" s="13"/>
      <c r="B53" s="107"/>
      <c r="C53" s="107" t="s">
        <v>17</v>
      </c>
      <c r="D53" s="108">
        <v>2</v>
      </c>
      <c r="E53" s="109">
        <v>0</v>
      </c>
      <c r="F53" s="109">
        <v>2</v>
      </c>
      <c r="G53" s="110"/>
    </row>
    <row r="54" spans="1:7" ht="15.6" customHeight="1">
      <c r="B54" s="97"/>
      <c r="C54" s="97" t="s">
        <v>160</v>
      </c>
      <c r="D54" s="98">
        <v>0</v>
      </c>
      <c r="E54" s="98">
        <v>0</v>
      </c>
      <c r="F54" s="98">
        <v>0</v>
      </c>
      <c r="G54" s="99"/>
    </row>
    <row r="55" spans="1:7" ht="15.6" customHeight="1">
      <c r="B55" s="97"/>
      <c r="C55" s="97" t="s">
        <v>39</v>
      </c>
      <c r="D55" s="98">
        <v>2</v>
      </c>
      <c r="E55" s="98">
        <v>0</v>
      </c>
      <c r="F55" s="98">
        <v>2</v>
      </c>
      <c r="G55" s="99"/>
    </row>
    <row r="56" spans="1:7" ht="15.6" customHeight="1">
      <c r="B56" s="105"/>
      <c r="C56" s="105" t="s">
        <v>40</v>
      </c>
      <c r="D56" s="98">
        <v>0</v>
      </c>
      <c r="E56" s="98">
        <v>0</v>
      </c>
      <c r="F56" s="98">
        <v>0</v>
      </c>
      <c r="G56" s="106"/>
    </row>
    <row r="57" spans="1:7" ht="15.6" customHeight="1" thickBot="1">
      <c r="B57" s="124"/>
      <c r="C57" s="124" t="s">
        <v>119</v>
      </c>
      <c r="D57" s="125">
        <v>0</v>
      </c>
      <c r="E57" s="125">
        <v>0</v>
      </c>
      <c r="F57" s="125">
        <v>0</v>
      </c>
      <c r="G57" s="126"/>
    </row>
    <row r="58" spans="1:7" s="13" customFormat="1" ht="3.75" customHeight="1">
      <c r="B58" s="127"/>
      <c r="C58" s="97"/>
      <c r="D58" s="128"/>
      <c r="E58" s="128"/>
      <c r="F58" s="128"/>
      <c r="G58" s="129"/>
    </row>
    <row r="59" spans="1:7" s="5" customFormat="1" ht="11.25" customHeight="1">
      <c r="B59" s="130" t="s">
        <v>100</v>
      </c>
      <c r="C59" s="131"/>
      <c r="D59" s="132"/>
      <c r="E59" s="132"/>
      <c r="F59" s="133"/>
      <c r="G59" s="80"/>
    </row>
    <row r="60" spans="1:7" s="4" customFormat="1" ht="11.25">
      <c r="B60" s="134" t="s">
        <v>101</v>
      </c>
      <c r="C60" s="135"/>
      <c r="D60" s="136"/>
      <c r="E60" s="136"/>
      <c r="F60" s="137"/>
      <c r="G60" s="138"/>
    </row>
    <row r="61" spans="1:7" s="4" customFormat="1" ht="11.25" customHeight="1">
      <c r="B61" s="134" t="s">
        <v>102</v>
      </c>
      <c r="C61" s="139"/>
      <c r="D61" s="136"/>
      <c r="E61" s="132"/>
      <c r="F61" s="140"/>
      <c r="G61" s="79"/>
    </row>
    <row r="62" spans="1:7" s="4" customFormat="1" ht="14.1" customHeight="1">
      <c r="B62" s="134" t="s">
        <v>103</v>
      </c>
      <c r="C62" s="139"/>
      <c r="D62" s="136"/>
      <c r="E62" s="132"/>
      <c r="F62" s="140"/>
      <c r="G62" s="79"/>
    </row>
    <row r="63" spans="1:7" s="4" customFormat="1" ht="14.1" customHeight="1">
      <c r="B63" s="134" t="s">
        <v>104</v>
      </c>
      <c r="C63" s="139"/>
      <c r="D63" s="136"/>
      <c r="E63" s="132"/>
      <c r="F63" s="140"/>
      <c r="G63" s="79"/>
    </row>
    <row r="64" spans="1:7" s="17" customFormat="1" ht="17.100000000000001" customHeight="1">
      <c r="A64" s="4"/>
      <c r="B64" s="3"/>
      <c r="C64" s="16"/>
      <c r="D64" s="15"/>
      <c r="E64" s="14"/>
      <c r="F64" s="15"/>
      <c r="G64" s="4"/>
    </row>
    <row r="65" spans="4:6" ht="17.100000000000001" customHeight="1">
      <c r="D65" s="18"/>
      <c r="E65" s="19"/>
      <c r="F65" s="18"/>
    </row>
    <row r="66" spans="4:6" ht="17.100000000000001" customHeight="1">
      <c r="D66" s="18"/>
      <c r="E66" s="19"/>
      <c r="F66" s="18"/>
    </row>
  </sheetData>
  <mergeCells count="2">
    <mergeCell ref="B1:G1"/>
    <mergeCell ref="B2:G2"/>
  </mergeCells>
  <phoneticPr fontId="17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75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H66"/>
  <sheetViews>
    <sheetView showGridLines="0" zoomScale="85" zoomScaleNormal="85" workbookViewId="0">
      <selection activeCell="E12" sqref="E12"/>
    </sheetView>
  </sheetViews>
  <sheetFormatPr defaultColWidth="1.7109375" defaultRowHeight="17.100000000000001" customHeight="1"/>
  <cols>
    <col min="1" max="1" width="2.28515625" style="10" customWidth="1"/>
    <col min="2" max="2" width="2.28515625" style="20" customWidth="1"/>
    <col min="3" max="3" width="29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2.28515625" style="10" customWidth="1"/>
    <col min="8" max="255" width="9.140625" style="9" customWidth="1"/>
    <col min="256" max="16384" width="1.7109375" style="9"/>
  </cols>
  <sheetData>
    <row r="1" spans="2:7" s="1" customFormat="1" ht="21.95" customHeight="1">
      <c r="B1" s="249" t="s">
        <v>105</v>
      </c>
      <c r="C1" s="249"/>
      <c r="D1" s="249"/>
      <c r="E1" s="249"/>
      <c r="F1" s="249"/>
      <c r="G1" s="249"/>
    </row>
    <row r="2" spans="2:7" s="2" customFormat="1" ht="15" customHeight="1">
      <c r="B2" s="250" t="s">
        <v>196</v>
      </c>
      <c r="C2" s="250"/>
      <c r="D2" s="250"/>
      <c r="E2" s="250"/>
      <c r="F2" s="250"/>
      <c r="G2" s="250"/>
    </row>
    <row r="3" spans="2:7" s="4" customFormat="1" ht="11.1" customHeight="1" thickBot="1">
      <c r="B3" s="77"/>
      <c r="C3" s="78"/>
      <c r="D3" s="79"/>
      <c r="E3" s="80"/>
      <c r="F3" s="81" t="s">
        <v>54</v>
      </c>
      <c r="G3" s="81"/>
    </row>
    <row r="4" spans="2:7" s="6" customFormat="1" ht="15.6" customHeight="1">
      <c r="B4" s="82"/>
      <c r="C4" s="83" t="s">
        <v>95</v>
      </c>
      <c r="D4" s="84" t="s">
        <v>55</v>
      </c>
      <c r="E4" s="84" t="s">
        <v>56</v>
      </c>
      <c r="F4" s="84" t="s">
        <v>57</v>
      </c>
      <c r="G4" s="85"/>
    </row>
    <row r="5" spans="2:7" s="7" customFormat="1" ht="20.100000000000001" customHeight="1">
      <c r="B5" s="86"/>
      <c r="C5" s="87" t="s">
        <v>106</v>
      </c>
      <c r="D5" s="88">
        <f>SUM(D7,D11,D15,D21,D22,D23,D24,D28,D31,D32,D33,D38,D43,D47,D48,D49,D53,D57)</f>
        <v>3152</v>
      </c>
      <c r="E5" s="88">
        <f t="shared" ref="E5:F5" si="0">SUM(E7,E11,E15,E21,E22,E23,E24,E28,E31,E32,E33,E38,E43,E47,E48,E49,E53,E57)</f>
        <v>2217</v>
      </c>
      <c r="F5" s="88">
        <f t="shared" si="0"/>
        <v>935</v>
      </c>
      <c r="G5" s="89"/>
    </row>
    <row r="6" spans="2:7" s="8" customFormat="1" ht="15" customHeight="1" thickBot="1">
      <c r="B6" s="90"/>
      <c r="C6" s="91" t="s">
        <v>107</v>
      </c>
      <c r="D6" s="92">
        <v>-113</v>
      </c>
      <c r="E6" s="92">
        <v>-60</v>
      </c>
      <c r="F6" s="92">
        <v>-53</v>
      </c>
      <c r="G6" s="93"/>
    </row>
    <row r="7" spans="2:7" ht="15.6" customHeight="1" thickTop="1">
      <c r="B7" s="94"/>
      <c r="C7" s="94" t="s">
        <v>108</v>
      </c>
      <c r="D7" s="95">
        <v>8</v>
      </c>
      <c r="E7" s="95">
        <v>0</v>
      </c>
      <c r="F7" s="95">
        <v>8</v>
      </c>
      <c r="G7" s="96"/>
    </row>
    <row r="8" spans="2:7" ht="15.6" customHeight="1">
      <c r="B8" s="97"/>
      <c r="C8" s="97" t="s">
        <v>0</v>
      </c>
      <c r="D8" s="98">
        <v>8</v>
      </c>
      <c r="E8" s="98">
        <v>0</v>
      </c>
      <c r="F8" s="98">
        <v>8</v>
      </c>
      <c r="G8" s="99"/>
    </row>
    <row r="9" spans="2:7" ht="15.6" customHeight="1">
      <c r="B9" s="97"/>
      <c r="C9" s="97" t="s">
        <v>1</v>
      </c>
      <c r="D9" s="98">
        <v>0</v>
      </c>
      <c r="E9" s="98">
        <v>0</v>
      </c>
      <c r="F9" s="98">
        <v>0</v>
      </c>
      <c r="G9" s="99"/>
    </row>
    <row r="10" spans="2:7" ht="15.6" customHeight="1">
      <c r="B10" s="97"/>
      <c r="C10" s="97" t="s">
        <v>2</v>
      </c>
      <c r="D10" s="98">
        <v>0</v>
      </c>
      <c r="E10" s="98">
        <v>0</v>
      </c>
      <c r="F10" s="98">
        <v>0</v>
      </c>
      <c r="G10" s="100"/>
    </row>
    <row r="11" spans="2:7" ht="15.6" customHeight="1">
      <c r="B11" s="101"/>
      <c r="C11" s="101" t="s">
        <v>3</v>
      </c>
      <c r="D11" s="102">
        <v>86</v>
      </c>
      <c r="E11" s="103">
        <v>0</v>
      </c>
      <c r="F11" s="103">
        <v>86</v>
      </c>
      <c r="G11" s="104"/>
    </row>
    <row r="12" spans="2:7" ht="15.6" customHeight="1">
      <c r="B12" s="97"/>
      <c r="C12" s="97" t="s">
        <v>0</v>
      </c>
      <c r="D12" s="98">
        <v>71</v>
      </c>
      <c r="E12" s="98">
        <v>0</v>
      </c>
      <c r="F12" s="98">
        <v>71</v>
      </c>
      <c r="G12" s="99"/>
    </row>
    <row r="13" spans="2:7" ht="15.6" customHeight="1">
      <c r="B13" s="97"/>
      <c r="C13" s="97" t="s">
        <v>1</v>
      </c>
      <c r="D13" s="98">
        <v>5</v>
      </c>
      <c r="E13" s="98">
        <v>0</v>
      </c>
      <c r="F13" s="98">
        <v>5</v>
      </c>
      <c r="G13" s="99"/>
    </row>
    <row r="14" spans="2:7" ht="15.6" customHeight="1">
      <c r="B14" s="105"/>
      <c r="C14" s="105" t="s">
        <v>2</v>
      </c>
      <c r="D14" s="98">
        <v>10</v>
      </c>
      <c r="E14" s="98">
        <v>0</v>
      </c>
      <c r="F14" s="98">
        <v>10</v>
      </c>
      <c r="G14" s="106"/>
    </row>
    <row r="15" spans="2:7" ht="15.6" customHeight="1">
      <c r="B15" s="107"/>
      <c r="C15" s="107" t="s">
        <v>109</v>
      </c>
      <c r="D15" s="108">
        <v>621</v>
      </c>
      <c r="E15" s="109">
        <v>183</v>
      </c>
      <c r="F15" s="109">
        <v>438</v>
      </c>
      <c r="G15" s="110"/>
    </row>
    <row r="16" spans="2:7" ht="15.6" customHeight="1">
      <c r="B16" s="97"/>
      <c r="C16" s="97" t="s">
        <v>4</v>
      </c>
      <c r="D16" s="98">
        <v>154</v>
      </c>
      <c r="E16" s="98">
        <v>0</v>
      </c>
      <c r="F16" s="98">
        <v>154</v>
      </c>
      <c r="G16" s="99"/>
    </row>
    <row r="17" spans="1:7" ht="15.6" customHeight="1">
      <c r="B17" s="97"/>
      <c r="C17" s="97" t="s">
        <v>5</v>
      </c>
      <c r="D17" s="98">
        <v>320</v>
      </c>
      <c r="E17" s="98">
        <v>130</v>
      </c>
      <c r="F17" s="98">
        <v>190</v>
      </c>
      <c r="G17" s="99"/>
    </row>
    <row r="18" spans="1:7" ht="15.6" customHeight="1">
      <c r="B18" s="97"/>
      <c r="C18" s="97" t="s">
        <v>6</v>
      </c>
      <c r="D18" s="98">
        <v>61</v>
      </c>
      <c r="E18" s="98">
        <v>0</v>
      </c>
      <c r="F18" s="98">
        <v>61</v>
      </c>
      <c r="G18" s="99"/>
    </row>
    <row r="19" spans="1:7" ht="15.6" customHeight="1">
      <c r="B19" s="97"/>
      <c r="C19" s="97" t="s">
        <v>7</v>
      </c>
      <c r="D19" s="98">
        <v>86</v>
      </c>
      <c r="E19" s="98">
        <v>53</v>
      </c>
      <c r="F19" s="98">
        <v>33</v>
      </c>
      <c r="G19" s="99"/>
    </row>
    <row r="20" spans="1:7" s="12" customFormat="1" ht="12">
      <c r="A20" s="11"/>
      <c r="B20" s="111"/>
      <c r="C20" s="111" t="s">
        <v>110</v>
      </c>
      <c r="D20" s="112">
        <v>-113</v>
      </c>
      <c r="E20" s="112">
        <v>-60</v>
      </c>
      <c r="F20" s="112">
        <v>-53</v>
      </c>
      <c r="G20" s="113"/>
    </row>
    <row r="21" spans="1:7" ht="15.6" customHeight="1">
      <c r="B21" s="114"/>
      <c r="C21" s="114" t="s">
        <v>8</v>
      </c>
      <c r="D21" s="115">
        <v>422</v>
      </c>
      <c r="E21" s="115">
        <v>153</v>
      </c>
      <c r="F21" s="115">
        <v>269</v>
      </c>
      <c r="G21" s="116"/>
    </row>
    <row r="22" spans="1:7" ht="15.6" customHeight="1">
      <c r="B22" s="114"/>
      <c r="C22" s="114" t="s">
        <v>9</v>
      </c>
      <c r="D22" s="115">
        <v>70</v>
      </c>
      <c r="E22" s="115">
        <v>40</v>
      </c>
      <c r="F22" s="115">
        <v>30</v>
      </c>
      <c r="G22" s="116"/>
    </row>
    <row r="23" spans="1:7" ht="15.6" customHeight="1">
      <c r="B23" s="114"/>
      <c r="C23" s="114" t="s">
        <v>26</v>
      </c>
      <c r="D23" s="115">
        <v>63</v>
      </c>
      <c r="E23" s="115">
        <v>4</v>
      </c>
      <c r="F23" s="115">
        <v>59</v>
      </c>
      <c r="G23" s="116"/>
    </row>
    <row r="24" spans="1:7" ht="15.6" customHeight="1">
      <c r="B24" s="107"/>
      <c r="C24" s="107" t="s">
        <v>10</v>
      </c>
      <c r="D24" s="108">
        <v>10</v>
      </c>
      <c r="E24" s="109">
        <v>5</v>
      </c>
      <c r="F24" s="109">
        <v>5</v>
      </c>
      <c r="G24" s="110"/>
    </row>
    <row r="25" spans="1:7" ht="15.6" customHeight="1">
      <c r="A25" s="13"/>
      <c r="B25" s="117"/>
      <c r="C25" s="117" t="s">
        <v>111</v>
      </c>
      <c r="D25" s="98">
        <v>3</v>
      </c>
      <c r="E25" s="98">
        <v>0</v>
      </c>
      <c r="F25" s="98">
        <v>3</v>
      </c>
      <c r="G25" s="99"/>
    </row>
    <row r="26" spans="1:7" ht="15.6" customHeight="1">
      <c r="A26" s="13"/>
      <c r="B26" s="117"/>
      <c r="C26" s="117" t="s">
        <v>112</v>
      </c>
      <c r="D26" s="98">
        <v>4</v>
      </c>
      <c r="E26" s="98">
        <v>3</v>
      </c>
      <c r="F26" s="98">
        <v>1</v>
      </c>
      <c r="G26" s="99"/>
    </row>
    <row r="27" spans="1:7" ht="15.6" customHeight="1">
      <c r="A27" s="13"/>
      <c r="B27" s="118"/>
      <c r="C27" s="118" t="s">
        <v>113</v>
      </c>
      <c r="D27" s="98">
        <v>3</v>
      </c>
      <c r="E27" s="98">
        <v>2</v>
      </c>
      <c r="F27" s="98">
        <v>1</v>
      </c>
      <c r="G27" s="106"/>
    </row>
    <row r="28" spans="1:7" ht="15.6" customHeight="1">
      <c r="B28" s="107"/>
      <c r="C28" s="107" t="s">
        <v>167</v>
      </c>
      <c r="D28" s="108">
        <v>34</v>
      </c>
      <c r="E28" s="109">
        <v>1</v>
      </c>
      <c r="F28" s="109">
        <v>33</v>
      </c>
      <c r="G28" s="110"/>
    </row>
    <row r="29" spans="1:7" ht="15.6" customHeight="1">
      <c r="B29" s="117"/>
      <c r="C29" s="117" t="s">
        <v>11</v>
      </c>
      <c r="D29" s="98">
        <v>30</v>
      </c>
      <c r="E29" s="98">
        <v>0</v>
      </c>
      <c r="F29" s="98">
        <v>30</v>
      </c>
      <c r="G29" s="99"/>
    </row>
    <row r="30" spans="1:7" ht="15.6" customHeight="1">
      <c r="B30" s="119"/>
      <c r="C30" s="119" t="s">
        <v>12</v>
      </c>
      <c r="D30" s="98">
        <v>4</v>
      </c>
      <c r="E30" s="98">
        <v>1</v>
      </c>
      <c r="F30" s="98">
        <v>3</v>
      </c>
      <c r="G30" s="106"/>
    </row>
    <row r="31" spans="1:7" ht="15.6" customHeight="1">
      <c r="B31" s="120"/>
      <c r="C31" s="120" t="s">
        <v>30</v>
      </c>
      <c r="D31" s="115">
        <v>0</v>
      </c>
      <c r="E31" s="115">
        <v>0</v>
      </c>
      <c r="F31" s="115">
        <v>0</v>
      </c>
      <c r="G31" s="116"/>
    </row>
    <row r="32" spans="1:7" ht="15.6" customHeight="1">
      <c r="B32" s="120"/>
      <c r="C32" s="120" t="s">
        <v>13</v>
      </c>
      <c r="D32" s="115">
        <v>0</v>
      </c>
      <c r="E32" s="115">
        <v>0</v>
      </c>
      <c r="F32" s="115">
        <v>0</v>
      </c>
      <c r="G32" s="116"/>
    </row>
    <row r="33" spans="1:8" ht="15.6" customHeight="1">
      <c r="A33" s="13"/>
      <c r="B33" s="107"/>
      <c r="C33" s="107" t="s">
        <v>14</v>
      </c>
      <c r="D33" s="108">
        <v>2</v>
      </c>
      <c r="E33" s="109">
        <v>0</v>
      </c>
      <c r="F33" s="109">
        <v>2</v>
      </c>
      <c r="G33" s="110"/>
    </row>
    <row r="34" spans="1:8" ht="15.6" customHeight="1">
      <c r="B34" s="117"/>
      <c r="C34" s="117" t="s">
        <v>32</v>
      </c>
      <c r="D34" s="98">
        <v>1</v>
      </c>
      <c r="E34" s="98">
        <v>0</v>
      </c>
      <c r="F34" s="98">
        <v>1</v>
      </c>
      <c r="G34" s="99"/>
    </row>
    <row r="35" spans="1:8" ht="15.6" customHeight="1">
      <c r="B35" s="117"/>
      <c r="C35" s="117" t="s">
        <v>33</v>
      </c>
      <c r="D35" s="98">
        <v>0</v>
      </c>
      <c r="E35" s="98">
        <v>0</v>
      </c>
      <c r="F35" s="98">
        <v>0</v>
      </c>
      <c r="G35" s="99"/>
    </row>
    <row r="36" spans="1:8" ht="15.6" customHeight="1">
      <c r="B36" s="117"/>
      <c r="C36" s="117" t="s">
        <v>34</v>
      </c>
      <c r="D36" s="98">
        <v>0</v>
      </c>
      <c r="E36" s="98">
        <v>0</v>
      </c>
      <c r="F36" s="98">
        <v>0</v>
      </c>
      <c r="G36" s="99"/>
    </row>
    <row r="37" spans="1:8" ht="15.6" customHeight="1">
      <c r="B37" s="118"/>
      <c r="C37" s="118" t="s">
        <v>35</v>
      </c>
      <c r="D37" s="98">
        <v>1</v>
      </c>
      <c r="E37" s="98">
        <v>0</v>
      </c>
      <c r="F37" s="98">
        <v>1</v>
      </c>
      <c r="G37" s="106"/>
    </row>
    <row r="38" spans="1:8" ht="15.6" customHeight="1">
      <c r="A38" s="13"/>
      <c r="B38" s="107"/>
      <c r="C38" s="107" t="s">
        <v>114</v>
      </c>
      <c r="D38" s="108">
        <v>3</v>
      </c>
      <c r="E38" s="109">
        <v>1</v>
      </c>
      <c r="F38" s="109">
        <v>2</v>
      </c>
      <c r="G38" s="110"/>
      <c r="H38" s="30"/>
    </row>
    <row r="39" spans="1:8" ht="15.6" customHeight="1">
      <c r="B39" s="121"/>
      <c r="C39" s="121" t="s">
        <v>115</v>
      </c>
      <c r="D39" s="122">
        <v>2</v>
      </c>
      <c r="E39" s="122">
        <v>0</v>
      </c>
      <c r="F39" s="122">
        <v>2</v>
      </c>
      <c r="G39" s="123"/>
    </row>
    <row r="40" spans="1:8" ht="15.6" customHeight="1">
      <c r="B40" s="117"/>
      <c r="C40" s="117" t="s">
        <v>49</v>
      </c>
      <c r="D40" s="98">
        <v>1</v>
      </c>
      <c r="E40" s="98">
        <v>1</v>
      </c>
      <c r="F40" s="98">
        <v>0</v>
      </c>
      <c r="G40" s="99"/>
    </row>
    <row r="41" spans="1:8" ht="15.6" customHeight="1">
      <c r="B41" s="117"/>
      <c r="C41" s="117" t="s">
        <v>116</v>
      </c>
      <c r="D41" s="98">
        <v>0</v>
      </c>
      <c r="E41" s="98">
        <v>0</v>
      </c>
      <c r="F41" s="98">
        <v>0</v>
      </c>
      <c r="G41" s="99"/>
    </row>
    <row r="42" spans="1:8" ht="15.6" customHeight="1">
      <c r="B42" s="118"/>
      <c r="C42" s="118" t="s">
        <v>51</v>
      </c>
      <c r="D42" s="98">
        <v>0</v>
      </c>
      <c r="E42" s="98">
        <v>0</v>
      </c>
      <c r="F42" s="98">
        <v>0</v>
      </c>
      <c r="G42" s="106"/>
    </row>
    <row r="43" spans="1:8" ht="15.6" customHeight="1">
      <c r="B43" s="107"/>
      <c r="C43" s="107" t="s">
        <v>15</v>
      </c>
      <c r="D43" s="108">
        <v>1736</v>
      </c>
      <c r="E43" s="109">
        <v>1736</v>
      </c>
      <c r="F43" s="109">
        <v>0</v>
      </c>
      <c r="G43" s="110"/>
    </row>
    <row r="44" spans="1:8" ht="15.6" customHeight="1">
      <c r="B44" s="117"/>
      <c r="C44" s="117" t="s">
        <v>153</v>
      </c>
      <c r="D44" s="98">
        <v>547</v>
      </c>
      <c r="E44" s="98">
        <v>547</v>
      </c>
      <c r="F44" s="98">
        <v>0</v>
      </c>
      <c r="G44" s="99"/>
    </row>
    <row r="45" spans="1:8" ht="15.6" customHeight="1">
      <c r="B45" s="117"/>
      <c r="C45" s="117" t="s">
        <v>37</v>
      </c>
      <c r="D45" s="98">
        <v>1166</v>
      </c>
      <c r="E45" s="98">
        <v>1166</v>
      </c>
      <c r="F45" s="98">
        <v>0</v>
      </c>
      <c r="G45" s="99"/>
    </row>
    <row r="46" spans="1:8" ht="15.6" customHeight="1">
      <c r="B46" s="118"/>
      <c r="C46" s="118" t="s">
        <v>155</v>
      </c>
      <c r="D46" s="98">
        <v>23</v>
      </c>
      <c r="E46" s="98">
        <v>23</v>
      </c>
      <c r="F46" s="98">
        <v>0</v>
      </c>
      <c r="G46" s="106"/>
    </row>
    <row r="47" spans="1:8" ht="15.6" customHeight="1">
      <c r="A47" s="13"/>
      <c r="B47" s="114"/>
      <c r="C47" s="114" t="s">
        <v>52</v>
      </c>
      <c r="D47" s="115">
        <v>61</v>
      </c>
      <c r="E47" s="115">
        <v>61</v>
      </c>
      <c r="F47" s="115">
        <v>0</v>
      </c>
      <c r="G47" s="116"/>
    </row>
    <row r="48" spans="1:8" ht="15.6" customHeight="1">
      <c r="A48" s="13"/>
      <c r="B48" s="114"/>
      <c r="C48" s="114" t="s">
        <v>117</v>
      </c>
      <c r="D48" s="115">
        <v>1</v>
      </c>
      <c r="E48" s="115">
        <v>1</v>
      </c>
      <c r="F48" s="115">
        <v>0</v>
      </c>
      <c r="G48" s="116"/>
    </row>
    <row r="49" spans="1:7" ht="15.6" customHeight="1">
      <c r="A49" s="13"/>
      <c r="B49" s="107"/>
      <c r="C49" s="107" t="s">
        <v>16</v>
      </c>
      <c r="D49" s="108">
        <v>4</v>
      </c>
      <c r="E49" s="109">
        <v>4</v>
      </c>
      <c r="F49" s="109">
        <v>0</v>
      </c>
      <c r="G49" s="110"/>
    </row>
    <row r="50" spans="1:7" ht="15.6" customHeight="1">
      <c r="B50" s="97"/>
      <c r="C50" s="97" t="s">
        <v>158</v>
      </c>
      <c r="D50" s="98">
        <v>0</v>
      </c>
      <c r="E50" s="98">
        <v>0</v>
      </c>
      <c r="F50" s="98">
        <v>0</v>
      </c>
      <c r="G50" s="99"/>
    </row>
    <row r="51" spans="1:7" ht="15.6" customHeight="1">
      <c r="B51" s="97"/>
      <c r="C51" s="97" t="s">
        <v>118</v>
      </c>
      <c r="D51" s="98">
        <v>2</v>
      </c>
      <c r="E51" s="98">
        <v>2</v>
      </c>
      <c r="F51" s="98">
        <v>0</v>
      </c>
      <c r="G51" s="99"/>
    </row>
    <row r="52" spans="1:7" ht="15.6" customHeight="1">
      <c r="B52" s="105"/>
      <c r="C52" s="105" t="s">
        <v>142</v>
      </c>
      <c r="D52" s="98">
        <v>2</v>
      </c>
      <c r="E52" s="98">
        <v>2</v>
      </c>
      <c r="F52" s="98">
        <v>0</v>
      </c>
      <c r="G52" s="106"/>
    </row>
    <row r="53" spans="1:7" ht="15.6" customHeight="1">
      <c r="A53" s="13"/>
      <c r="B53" s="107"/>
      <c r="C53" s="107" t="s">
        <v>17</v>
      </c>
      <c r="D53" s="108">
        <v>8</v>
      </c>
      <c r="E53" s="109">
        <v>5</v>
      </c>
      <c r="F53" s="109">
        <v>3</v>
      </c>
      <c r="G53" s="110"/>
    </row>
    <row r="54" spans="1:7" ht="15.6" customHeight="1">
      <c r="B54" s="97"/>
      <c r="C54" s="97" t="s">
        <v>160</v>
      </c>
      <c r="D54" s="98">
        <v>0</v>
      </c>
      <c r="E54" s="98">
        <v>0</v>
      </c>
      <c r="F54" s="98">
        <v>0</v>
      </c>
      <c r="G54" s="99"/>
    </row>
    <row r="55" spans="1:7" ht="15.6" customHeight="1">
      <c r="B55" s="97"/>
      <c r="C55" s="97" t="s">
        <v>39</v>
      </c>
      <c r="D55" s="98">
        <v>1</v>
      </c>
      <c r="E55" s="98">
        <v>1</v>
      </c>
      <c r="F55" s="98">
        <v>0</v>
      </c>
      <c r="G55" s="99"/>
    </row>
    <row r="56" spans="1:7" ht="15.6" customHeight="1">
      <c r="B56" s="105"/>
      <c r="C56" s="105" t="s">
        <v>40</v>
      </c>
      <c r="D56" s="98">
        <v>7</v>
      </c>
      <c r="E56" s="98">
        <v>4</v>
      </c>
      <c r="F56" s="98">
        <v>3</v>
      </c>
      <c r="G56" s="106"/>
    </row>
    <row r="57" spans="1:7" ht="15.6" customHeight="1" thickBot="1">
      <c r="B57" s="124"/>
      <c r="C57" s="124" t="s">
        <v>119</v>
      </c>
      <c r="D57" s="125">
        <v>23</v>
      </c>
      <c r="E57" s="125">
        <v>23</v>
      </c>
      <c r="F57" s="125">
        <v>0</v>
      </c>
      <c r="G57" s="126"/>
    </row>
    <row r="58" spans="1:7" s="31" customFormat="1" ht="2.25" customHeight="1">
      <c r="B58" s="127"/>
      <c r="C58" s="97"/>
      <c r="D58" s="128"/>
      <c r="E58" s="128"/>
      <c r="F58" s="128"/>
      <c r="G58" s="129"/>
    </row>
    <row r="59" spans="1:7" s="5" customFormat="1" ht="11.25" customHeight="1">
      <c r="B59" s="130" t="s">
        <v>100</v>
      </c>
      <c r="C59" s="131"/>
      <c r="D59" s="132"/>
      <c r="E59" s="132"/>
      <c r="F59" s="133"/>
      <c r="G59" s="80"/>
    </row>
    <row r="60" spans="1:7" s="4" customFormat="1" ht="11.25">
      <c r="B60" s="134" t="s">
        <v>101</v>
      </c>
      <c r="C60" s="135"/>
      <c r="D60" s="136"/>
      <c r="E60" s="136"/>
      <c r="F60" s="137"/>
      <c r="G60" s="138"/>
    </row>
    <row r="61" spans="1:7" s="4" customFormat="1" ht="11.25" customHeight="1">
      <c r="B61" s="134" t="s">
        <v>102</v>
      </c>
      <c r="C61" s="139"/>
      <c r="D61" s="136"/>
      <c r="E61" s="132"/>
      <c r="F61" s="140"/>
      <c r="G61" s="79"/>
    </row>
    <row r="62" spans="1:7" s="4" customFormat="1" ht="14.1" customHeight="1">
      <c r="B62" s="134" t="s">
        <v>103</v>
      </c>
      <c r="C62" s="139"/>
      <c r="D62" s="136"/>
      <c r="E62" s="132"/>
      <c r="F62" s="140"/>
      <c r="G62" s="79"/>
    </row>
    <row r="63" spans="1:7" s="4" customFormat="1" ht="14.1" customHeight="1">
      <c r="B63" s="134" t="s">
        <v>104</v>
      </c>
      <c r="C63" s="139"/>
      <c r="D63" s="136"/>
      <c r="E63" s="132"/>
      <c r="F63" s="140"/>
      <c r="G63" s="79"/>
    </row>
    <row r="64" spans="1:7" s="17" customFormat="1" ht="17.100000000000001" customHeight="1">
      <c r="A64" s="4"/>
      <c r="B64" s="3"/>
      <c r="C64" s="16"/>
      <c r="D64" s="15"/>
      <c r="E64" s="14"/>
      <c r="F64" s="15"/>
      <c r="G64" s="4"/>
    </row>
    <row r="65" spans="4:6" ht="17.100000000000001" customHeight="1">
      <c r="D65" s="18"/>
      <c r="E65" s="19"/>
      <c r="F65" s="18"/>
    </row>
    <row r="66" spans="4:6" ht="17.100000000000001" customHeight="1">
      <c r="D66" s="18"/>
      <c r="E66" s="19"/>
      <c r="F66" s="18"/>
    </row>
  </sheetData>
  <mergeCells count="2">
    <mergeCell ref="B1:G1"/>
    <mergeCell ref="B2:G2"/>
  </mergeCells>
  <phoneticPr fontId="17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75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H66"/>
  <sheetViews>
    <sheetView showGridLines="0" zoomScale="85" zoomScaleNormal="85" workbookViewId="0">
      <selection activeCell="E12" sqref="E12"/>
    </sheetView>
  </sheetViews>
  <sheetFormatPr defaultColWidth="1.7109375" defaultRowHeight="17.100000000000001" customHeight="1"/>
  <cols>
    <col min="1" max="1" width="2.28515625" style="10" customWidth="1"/>
    <col min="2" max="2" width="2.28515625" style="20" customWidth="1"/>
    <col min="3" max="3" width="29" style="21" customWidth="1"/>
    <col min="4" max="4" width="18.7109375" style="10" customWidth="1"/>
    <col min="5" max="5" width="18.7109375" style="13" customWidth="1"/>
    <col min="6" max="6" width="18.7109375" style="10" customWidth="1"/>
    <col min="7" max="7" width="2.28515625" style="10" customWidth="1"/>
    <col min="8" max="255" width="9.140625" style="9" customWidth="1"/>
    <col min="256" max="16384" width="1.7109375" style="9"/>
  </cols>
  <sheetData>
    <row r="1" spans="2:7" s="1" customFormat="1" ht="21.95" customHeight="1">
      <c r="B1" s="249" t="s">
        <v>105</v>
      </c>
      <c r="C1" s="249"/>
      <c r="D1" s="249"/>
      <c r="E1" s="249"/>
      <c r="F1" s="249"/>
      <c r="G1" s="249"/>
    </row>
    <row r="2" spans="2:7" s="2" customFormat="1" ht="15" customHeight="1">
      <c r="B2" s="250" t="s">
        <v>197</v>
      </c>
      <c r="C2" s="250"/>
      <c r="D2" s="250"/>
      <c r="E2" s="250"/>
      <c r="F2" s="250"/>
      <c r="G2" s="250"/>
    </row>
    <row r="3" spans="2:7" s="4" customFormat="1" ht="11.1" customHeight="1" thickBot="1">
      <c r="B3" s="77"/>
      <c r="C3" s="78"/>
      <c r="D3" s="79"/>
      <c r="E3" s="80"/>
      <c r="F3" s="81" t="s">
        <v>54</v>
      </c>
      <c r="G3" s="81"/>
    </row>
    <row r="4" spans="2:7" s="6" customFormat="1" ht="15.6" customHeight="1">
      <c r="B4" s="82"/>
      <c r="C4" s="83" t="s">
        <v>95</v>
      </c>
      <c r="D4" s="84" t="s">
        <v>55</v>
      </c>
      <c r="E4" s="84" t="s">
        <v>56</v>
      </c>
      <c r="F4" s="84" t="s">
        <v>57</v>
      </c>
      <c r="G4" s="85"/>
    </row>
    <row r="5" spans="2:7" s="7" customFormat="1" ht="20.100000000000001" customHeight="1">
      <c r="B5" s="86"/>
      <c r="C5" s="87" t="s">
        <v>106</v>
      </c>
      <c r="D5" s="88">
        <f>SUM(D7,D11,D15,D21,D22,D23,D24,D28,D31,D32,D33,D38,D43,D47,D48,D49,D53,D57)</f>
        <v>85</v>
      </c>
      <c r="E5" s="88">
        <f t="shared" ref="E5:F5" si="0">SUM(E7,E11,E15,E21,E22,E23,E24,E28,E31,E32,E33,E38,E43,E47,E48,E49,E53,E57)</f>
        <v>23</v>
      </c>
      <c r="F5" s="88">
        <f t="shared" si="0"/>
        <v>62</v>
      </c>
      <c r="G5" s="89"/>
    </row>
    <row r="6" spans="2:7" s="8" customFormat="1" ht="15" customHeight="1" thickBot="1">
      <c r="B6" s="90"/>
      <c r="C6" s="91" t="s">
        <v>107</v>
      </c>
      <c r="D6" s="92">
        <v>-3</v>
      </c>
      <c r="E6" s="92">
        <v>0</v>
      </c>
      <c r="F6" s="92">
        <v>-3</v>
      </c>
      <c r="G6" s="93"/>
    </row>
    <row r="7" spans="2:7" ht="15.6" customHeight="1" thickTop="1">
      <c r="B7" s="94"/>
      <c r="C7" s="94" t="s">
        <v>108</v>
      </c>
      <c r="D7" s="95">
        <v>4</v>
      </c>
      <c r="E7" s="95">
        <v>0</v>
      </c>
      <c r="F7" s="95">
        <v>4</v>
      </c>
      <c r="G7" s="96"/>
    </row>
    <row r="8" spans="2:7" ht="15.6" customHeight="1">
      <c r="B8" s="97"/>
      <c r="C8" s="97" t="s">
        <v>0</v>
      </c>
      <c r="D8" s="98">
        <v>4</v>
      </c>
      <c r="E8" s="98">
        <v>0</v>
      </c>
      <c r="F8" s="98">
        <v>4</v>
      </c>
      <c r="G8" s="99"/>
    </row>
    <row r="9" spans="2:7" ht="15.6" customHeight="1">
      <c r="B9" s="97"/>
      <c r="C9" s="97" t="s">
        <v>1</v>
      </c>
      <c r="D9" s="98">
        <v>0</v>
      </c>
      <c r="E9" s="98">
        <v>0</v>
      </c>
      <c r="F9" s="98">
        <v>0</v>
      </c>
      <c r="G9" s="99"/>
    </row>
    <row r="10" spans="2:7" ht="15.6" customHeight="1">
      <c r="B10" s="97"/>
      <c r="C10" s="97" t="s">
        <v>2</v>
      </c>
      <c r="D10" s="98">
        <v>0</v>
      </c>
      <c r="E10" s="98">
        <v>0</v>
      </c>
      <c r="F10" s="98">
        <v>0</v>
      </c>
      <c r="G10" s="100"/>
    </row>
    <row r="11" spans="2:7" ht="15.6" customHeight="1">
      <c r="B11" s="101"/>
      <c r="C11" s="101" t="s">
        <v>3</v>
      </c>
      <c r="D11" s="102">
        <v>8</v>
      </c>
      <c r="E11" s="103">
        <v>0</v>
      </c>
      <c r="F11" s="103">
        <v>8</v>
      </c>
      <c r="G11" s="104"/>
    </row>
    <row r="12" spans="2:7" ht="15.6" customHeight="1">
      <c r="B12" s="97"/>
      <c r="C12" s="97" t="s">
        <v>0</v>
      </c>
      <c r="D12" s="98">
        <v>6</v>
      </c>
      <c r="E12" s="98">
        <v>0</v>
      </c>
      <c r="F12" s="98">
        <v>6</v>
      </c>
      <c r="G12" s="99"/>
    </row>
    <row r="13" spans="2:7" ht="15.6" customHeight="1">
      <c r="B13" s="97"/>
      <c r="C13" s="97" t="s">
        <v>1</v>
      </c>
      <c r="D13" s="98">
        <v>0</v>
      </c>
      <c r="E13" s="98">
        <v>0</v>
      </c>
      <c r="F13" s="98">
        <v>0</v>
      </c>
      <c r="G13" s="99"/>
    </row>
    <row r="14" spans="2:7" ht="15.6" customHeight="1">
      <c r="B14" s="105"/>
      <c r="C14" s="105" t="s">
        <v>2</v>
      </c>
      <c r="D14" s="98">
        <v>2</v>
      </c>
      <c r="E14" s="98">
        <v>0</v>
      </c>
      <c r="F14" s="98">
        <v>2</v>
      </c>
      <c r="G14" s="106"/>
    </row>
    <row r="15" spans="2:7" ht="15.6" customHeight="1">
      <c r="B15" s="107"/>
      <c r="C15" s="107" t="s">
        <v>109</v>
      </c>
      <c r="D15" s="108">
        <v>33</v>
      </c>
      <c r="E15" s="109">
        <v>1</v>
      </c>
      <c r="F15" s="109">
        <v>32</v>
      </c>
      <c r="G15" s="110"/>
    </row>
    <row r="16" spans="2:7" ht="15.6" customHeight="1">
      <c r="B16" s="97"/>
      <c r="C16" s="97" t="s">
        <v>4</v>
      </c>
      <c r="D16" s="98">
        <v>20</v>
      </c>
      <c r="E16" s="98">
        <v>0</v>
      </c>
      <c r="F16" s="98">
        <v>20</v>
      </c>
      <c r="G16" s="99"/>
    </row>
    <row r="17" spans="1:7" ht="15.6" customHeight="1">
      <c r="B17" s="97"/>
      <c r="C17" s="97" t="s">
        <v>5</v>
      </c>
      <c r="D17" s="98">
        <v>7</v>
      </c>
      <c r="E17" s="98">
        <v>1</v>
      </c>
      <c r="F17" s="98">
        <v>6</v>
      </c>
      <c r="G17" s="99"/>
    </row>
    <row r="18" spans="1:7" ht="15.6" customHeight="1">
      <c r="B18" s="97"/>
      <c r="C18" s="97" t="s">
        <v>6</v>
      </c>
      <c r="D18" s="98">
        <v>3</v>
      </c>
      <c r="E18" s="98">
        <v>0</v>
      </c>
      <c r="F18" s="98">
        <v>3</v>
      </c>
      <c r="G18" s="99"/>
    </row>
    <row r="19" spans="1:7" ht="15.6" customHeight="1">
      <c r="B19" s="97"/>
      <c r="C19" s="97" t="s">
        <v>7</v>
      </c>
      <c r="D19" s="98">
        <v>3</v>
      </c>
      <c r="E19" s="98">
        <v>0</v>
      </c>
      <c r="F19" s="98">
        <v>3</v>
      </c>
      <c r="G19" s="99"/>
    </row>
    <row r="20" spans="1:7" s="12" customFormat="1" ht="12">
      <c r="A20" s="11"/>
      <c r="B20" s="111"/>
      <c r="C20" s="111" t="s">
        <v>110</v>
      </c>
      <c r="D20" s="112">
        <v>-3</v>
      </c>
      <c r="E20" s="112">
        <v>0</v>
      </c>
      <c r="F20" s="112">
        <v>-3</v>
      </c>
      <c r="G20" s="113"/>
    </row>
    <row r="21" spans="1:7" ht="15.6" customHeight="1">
      <c r="B21" s="114"/>
      <c r="C21" s="114" t="s">
        <v>8</v>
      </c>
      <c r="D21" s="115">
        <v>16</v>
      </c>
      <c r="E21" s="115">
        <v>5</v>
      </c>
      <c r="F21" s="115">
        <v>11</v>
      </c>
      <c r="G21" s="116"/>
    </row>
    <row r="22" spans="1:7" ht="15.6" customHeight="1">
      <c r="B22" s="114"/>
      <c r="C22" s="114" t="s">
        <v>9</v>
      </c>
      <c r="D22" s="115">
        <v>1</v>
      </c>
      <c r="E22" s="115">
        <v>0</v>
      </c>
      <c r="F22" s="115">
        <v>1</v>
      </c>
      <c r="G22" s="116"/>
    </row>
    <row r="23" spans="1:7" ht="15.6" customHeight="1">
      <c r="B23" s="114"/>
      <c r="C23" s="114" t="s">
        <v>26</v>
      </c>
      <c r="D23" s="115">
        <v>3</v>
      </c>
      <c r="E23" s="115">
        <v>0</v>
      </c>
      <c r="F23" s="115">
        <v>3</v>
      </c>
      <c r="G23" s="116"/>
    </row>
    <row r="24" spans="1:7" ht="15.6" customHeight="1">
      <c r="B24" s="107"/>
      <c r="C24" s="107" t="s">
        <v>10</v>
      </c>
      <c r="D24" s="108">
        <v>0</v>
      </c>
      <c r="E24" s="109">
        <v>0</v>
      </c>
      <c r="F24" s="109">
        <v>0</v>
      </c>
      <c r="G24" s="110"/>
    </row>
    <row r="25" spans="1:7" ht="15.6" customHeight="1">
      <c r="A25" s="13"/>
      <c r="B25" s="117"/>
      <c r="C25" s="117" t="s">
        <v>111</v>
      </c>
      <c r="D25" s="98">
        <v>0</v>
      </c>
      <c r="E25" s="98">
        <v>0</v>
      </c>
      <c r="F25" s="98">
        <v>0</v>
      </c>
      <c r="G25" s="99"/>
    </row>
    <row r="26" spans="1:7" ht="15.6" customHeight="1">
      <c r="A26" s="13"/>
      <c r="B26" s="117"/>
      <c r="C26" s="117" t="s">
        <v>112</v>
      </c>
      <c r="D26" s="98">
        <v>0</v>
      </c>
      <c r="E26" s="98">
        <v>0</v>
      </c>
      <c r="F26" s="98">
        <v>0</v>
      </c>
      <c r="G26" s="99"/>
    </row>
    <row r="27" spans="1:7" ht="15.6" customHeight="1">
      <c r="A27" s="13"/>
      <c r="B27" s="118"/>
      <c r="C27" s="118" t="s">
        <v>113</v>
      </c>
      <c r="D27" s="98">
        <v>0</v>
      </c>
      <c r="E27" s="98">
        <v>0</v>
      </c>
      <c r="F27" s="98">
        <v>0</v>
      </c>
      <c r="G27" s="106"/>
    </row>
    <row r="28" spans="1:7" ht="15.6" customHeight="1">
      <c r="B28" s="107"/>
      <c r="C28" s="107" t="s">
        <v>167</v>
      </c>
      <c r="D28" s="108">
        <v>1</v>
      </c>
      <c r="E28" s="109">
        <v>0</v>
      </c>
      <c r="F28" s="109">
        <v>1</v>
      </c>
      <c r="G28" s="110"/>
    </row>
    <row r="29" spans="1:7" ht="15.6" customHeight="1">
      <c r="B29" s="117"/>
      <c r="C29" s="117" t="s">
        <v>11</v>
      </c>
      <c r="D29" s="98">
        <v>1</v>
      </c>
      <c r="E29" s="98">
        <v>0</v>
      </c>
      <c r="F29" s="98">
        <v>1</v>
      </c>
      <c r="G29" s="99"/>
    </row>
    <row r="30" spans="1:7" ht="15.6" customHeight="1">
      <c r="B30" s="119"/>
      <c r="C30" s="119" t="s">
        <v>12</v>
      </c>
      <c r="D30" s="98">
        <v>0</v>
      </c>
      <c r="E30" s="98">
        <v>0</v>
      </c>
      <c r="F30" s="98">
        <v>0</v>
      </c>
      <c r="G30" s="106"/>
    </row>
    <row r="31" spans="1:7" ht="15.6" customHeight="1">
      <c r="B31" s="120"/>
      <c r="C31" s="120" t="s">
        <v>30</v>
      </c>
      <c r="D31" s="115">
        <v>0</v>
      </c>
      <c r="E31" s="115">
        <v>0</v>
      </c>
      <c r="F31" s="115">
        <v>0</v>
      </c>
      <c r="G31" s="116"/>
    </row>
    <row r="32" spans="1:7" ht="15.6" customHeight="1">
      <c r="B32" s="120"/>
      <c r="C32" s="120" t="s">
        <v>13</v>
      </c>
      <c r="D32" s="115">
        <v>0</v>
      </c>
      <c r="E32" s="115">
        <v>0</v>
      </c>
      <c r="F32" s="115">
        <v>0</v>
      </c>
      <c r="G32" s="116"/>
    </row>
    <row r="33" spans="1:8" ht="15.6" customHeight="1">
      <c r="A33" s="13"/>
      <c r="B33" s="107"/>
      <c r="C33" s="107" t="s">
        <v>14</v>
      </c>
      <c r="D33" s="108">
        <v>0</v>
      </c>
      <c r="E33" s="109">
        <v>0</v>
      </c>
      <c r="F33" s="109">
        <v>0</v>
      </c>
      <c r="G33" s="110"/>
    </row>
    <row r="34" spans="1:8" ht="15.6" customHeight="1">
      <c r="B34" s="117"/>
      <c r="C34" s="117" t="s">
        <v>32</v>
      </c>
      <c r="D34" s="98">
        <v>0</v>
      </c>
      <c r="E34" s="98">
        <v>0</v>
      </c>
      <c r="F34" s="98">
        <v>0</v>
      </c>
      <c r="G34" s="99"/>
    </row>
    <row r="35" spans="1:8" ht="15.6" customHeight="1">
      <c r="B35" s="117"/>
      <c r="C35" s="117" t="s">
        <v>33</v>
      </c>
      <c r="D35" s="98">
        <v>0</v>
      </c>
      <c r="E35" s="98">
        <v>0</v>
      </c>
      <c r="F35" s="98">
        <v>0</v>
      </c>
      <c r="G35" s="99"/>
    </row>
    <row r="36" spans="1:8" ht="15.6" customHeight="1">
      <c r="B36" s="117"/>
      <c r="C36" s="117" t="s">
        <v>34</v>
      </c>
      <c r="D36" s="98">
        <v>0</v>
      </c>
      <c r="E36" s="98">
        <v>0</v>
      </c>
      <c r="F36" s="98">
        <v>0</v>
      </c>
      <c r="G36" s="99"/>
    </row>
    <row r="37" spans="1:8" ht="15.6" customHeight="1">
      <c r="B37" s="118"/>
      <c r="C37" s="118" t="s">
        <v>35</v>
      </c>
      <c r="D37" s="98">
        <v>0</v>
      </c>
      <c r="E37" s="98">
        <v>0</v>
      </c>
      <c r="F37" s="98">
        <v>0</v>
      </c>
      <c r="G37" s="106"/>
    </row>
    <row r="38" spans="1:8" ht="15.6" customHeight="1">
      <c r="A38" s="13"/>
      <c r="B38" s="107"/>
      <c r="C38" s="107" t="s">
        <v>114</v>
      </c>
      <c r="D38" s="108">
        <v>1</v>
      </c>
      <c r="E38" s="109">
        <v>0</v>
      </c>
      <c r="F38" s="109">
        <v>1</v>
      </c>
      <c r="G38" s="110"/>
      <c r="H38" s="30"/>
    </row>
    <row r="39" spans="1:8" ht="15.6" customHeight="1">
      <c r="B39" s="121"/>
      <c r="C39" s="121" t="s">
        <v>115</v>
      </c>
      <c r="D39" s="122">
        <v>1</v>
      </c>
      <c r="E39" s="122">
        <v>0</v>
      </c>
      <c r="F39" s="122">
        <v>1</v>
      </c>
      <c r="G39" s="123"/>
    </row>
    <row r="40" spans="1:8" ht="15.6" customHeight="1">
      <c r="B40" s="117"/>
      <c r="C40" s="117" t="s">
        <v>49</v>
      </c>
      <c r="D40" s="98">
        <v>0</v>
      </c>
      <c r="E40" s="98">
        <v>0</v>
      </c>
      <c r="F40" s="98">
        <v>0</v>
      </c>
      <c r="G40" s="99"/>
    </row>
    <row r="41" spans="1:8" ht="15.6" customHeight="1">
      <c r="B41" s="117"/>
      <c r="C41" s="117" t="s">
        <v>116</v>
      </c>
      <c r="D41" s="98">
        <v>0</v>
      </c>
      <c r="E41" s="98">
        <v>0</v>
      </c>
      <c r="F41" s="98">
        <v>0</v>
      </c>
      <c r="G41" s="99"/>
    </row>
    <row r="42" spans="1:8" ht="15.6" customHeight="1">
      <c r="B42" s="118"/>
      <c r="C42" s="118" t="s">
        <v>51</v>
      </c>
      <c r="D42" s="98">
        <v>0</v>
      </c>
      <c r="E42" s="98">
        <v>0</v>
      </c>
      <c r="F42" s="98">
        <v>0</v>
      </c>
      <c r="G42" s="106"/>
    </row>
    <row r="43" spans="1:8" ht="15.6" customHeight="1">
      <c r="B43" s="107"/>
      <c r="C43" s="107" t="s">
        <v>15</v>
      </c>
      <c r="D43" s="108">
        <v>11</v>
      </c>
      <c r="E43" s="109">
        <v>11</v>
      </c>
      <c r="F43" s="109">
        <v>0</v>
      </c>
      <c r="G43" s="110"/>
    </row>
    <row r="44" spans="1:8" ht="15.6" customHeight="1">
      <c r="B44" s="117"/>
      <c r="C44" s="117" t="s">
        <v>153</v>
      </c>
      <c r="D44" s="98">
        <v>4</v>
      </c>
      <c r="E44" s="98">
        <v>4</v>
      </c>
      <c r="F44" s="98">
        <v>0</v>
      </c>
      <c r="G44" s="99"/>
    </row>
    <row r="45" spans="1:8" ht="15.6" customHeight="1">
      <c r="B45" s="117"/>
      <c r="C45" s="117" t="s">
        <v>37</v>
      </c>
      <c r="D45" s="98">
        <v>7</v>
      </c>
      <c r="E45" s="98">
        <v>7</v>
      </c>
      <c r="F45" s="98">
        <v>0</v>
      </c>
      <c r="G45" s="99"/>
    </row>
    <row r="46" spans="1:8" ht="15.6" customHeight="1">
      <c r="B46" s="118"/>
      <c r="C46" s="118" t="s">
        <v>155</v>
      </c>
      <c r="D46" s="98">
        <v>0</v>
      </c>
      <c r="E46" s="98">
        <v>0</v>
      </c>
      <c r="F46" s="98">
        <v>0</v>
      </c>
      <c r="G46" s="106"/>
    </row>
    <row r="47" spans="1:8" ht="15.6" customHeight="1">
      <c r="A47" s="13"/>
      <c r="B47" s="114"/>
      <c r="C47" s="114" t="s">
        <v>52</v>
      </c>
      <c r="D47" s="115">
        <v>2</v>
      </c>
      <c r="E47" s="115">
        <v>2</v>
      </c>
      <c r="F47" s="115">
        <v>0</v>
      </c>
      <c r="G47" s="116"/>
    </row>
    <row r="48" spans="1:8" ht="15.6" customHeight="1">
      <c r="A48" s="13"/>
      <c r="B48" s="114"/>
      <c r="C48" s="114" t="s">
        <v>117</v>
      </c>
      <c r="D48" s="115">
        <v>0</v>
      </c>
      <c r="E48" s="115">
        <v>0</v>
      </c>
      <c r="F48" s="115">
        <v>0</v>
      </c>
      <c r="G48" s="116"/>
    </row>
    <row r="49" spans="1:7" ht="15.6" customHeight="1">
      <c r="A49" s="13"/>
      <c r="B49" s="107"/>
      <c r="C49" s="107" t="s">
        <v>16</v>
      </c>
      <c r="D49" s="108">
        <v>1</v>
      </c>
      <c r="E49" s="109">
        <v>0</v>
      </c>
      <c r="F49" s="109">
        <v>1</v>
      </c>
      <c r="G49" s="110"/>
    </row>
    <row r="50" spans="1:7" ht="15.6" customHeight="1">
      <c r="B50" s="97"/>
      <c r="C50" s="97" t="s">
        <v>158</v>
      </c>
      <c r="D50" s="98">
        <v>0</v>
      </c>
      <c r="E50" s="98">
        <v>0</v>
      </c>
      <c r="F50" s="98">
        <v>0</v>
      </c>
      <c r="G50" s="99"/>
    </row>
    <row r="51" spans="1:7" ht="15.6" customHeight="1">
      <c r="B51" s="97"/>
      <c r="C51" s="97" t="s">
        <v>118</v>
      </c>
      <c r="D51" s="98">
        <v>1</v>
      </c>
      <c r="E51" s="98">
        <v>0</v>
      </c>
      <c r="F51" s="98">
        <v>1</v>
      </c>
      <c r="G51" s="99"/>
    </row>
    <row r="52" spans="1:7" ht="15.6" customHeight="1">
      <c r="B52" s="105"/>
      <c r="C52" s="105" t="s">
        <v>142</v>
      </c>
      <c r="D52" s="98">
        <v>0</v>
      </c>
      <c r="E52" s="98">
        <v>0</v>
      </c>
      <c r="F52" s="98">
        <v>0</v>
      </c>
      <c r="G52" s="106"/>
    </row>
    <row r="53" spans="1:7" ht="15.6" customHeight="1">
      <c r="A53" s="13"/>
      <c r="B53" s="107"/>
      <c r="C53" s="107" t="s">
        <v>17</v>
      </c>
      <c r="D53" s="108">
        <v>1</v>
      </c>
      <c r="E53" s="109">
        <v>1</v>
      </c>
      <c r="F53" s="109">
        <v>0</v>
      </c>
      <c r="G53" s="110"/>
    </row>
    <row r="54" spans="1:7" ht="15.6" customHeight="1">
      <c r="B54" s="97"/>
      <c r="C54" s="97" t="s">
        <v>160</v>
      </c>
      <c r="D54" s="98">
        <v>0</v>
      </c>
      <c r="E54" s="98">
        <v>0</v>
      </c>
      <c r="F54" s="98">
        <v>0</v>
      </c>
      <c r="G54" s="99"/>
    </row>
    <row r="55" spans="1:7" ht="15.6" customHeight="1">
      <c r="B55" s="97"/>
      <c r="C55" s="97" t="s">
        <v>39</v>
      </c>
      <c r="D55" s="98">
        <v>0</v>
      </c>
      <c r="E55" s="98">
        <v>0</v>
      </c>
      <c r="F55" s="98">
        <v>0</v>
      </c>
      <c r="G55" s="99"/>
    </row>
    <row r="56" spans="1:7" ht="15.6" customHeight="1">
      <c r="B56" s="105"/>
      <c r="C56" s="105" t="s">
        <v>40</v>
      </c>
      <c r="D56" s="98">
        <v>1</v>
      </c>
      <c r="E56" s="98">
        <v>1</v>
      </c>
      <c r="F56" s="98">
        <v>0</v>
      </c>
      <c r="G56" s="106"/>
    </row>
    <row r="57" spans="1:7" ht="15.6" customHeight="1" thickBot="1">
      <c r="B57" s="124"/>
      <c r="C57" s="124" t="s">
        <v>119</v>
      </c>
      <c r="D57" s="125">
        <v>3</v>
      </c>
      <c r="E57" s="125">
        <v>3</v>
      </c>
      <c r="F57" s="125">
        <v>0</v>
      </c>
      <c r="G57" s="126"/>
    </row>
    <row r="58" spans="1:7" s="31" customFormat="1" ht="2.25" customHeight="1">
      <c r="B58" s="127"/>
      <c r="C58" s="97"/>
      <c r="D58" s="128"/>
      <c r="E58" s="128"/>
      <c r="F58" s="128"/>
      <c r="G58" s="129"/>
    </row>
    <row r="59" spans="1:7" s="5" customFormat="1" ht="11.25" customHeight="1">
      <c r="B59" s="130" t="s">
        <v>100</v>
      </c>
      <c r="C59" s="131"/>
      <c r="D59" s="132"/>
      <c r="E59" s="132"/>
      <c r="F59" s="133"/>
      <c r="G59" s="80"/>
    </row>
    <row r="60" spans="1:7" s="4" customFormat="1" ht="11.25">
      <c r="B60" s="134" t="s">
        <v>101</v>
      </c>
      <c r="C60" s="135"/>
      <c r="D60" s="136"/>
      <c r="E60" s="136"/>
      <c r="F60" s="137"/>
      <c r="G60" s="138"/>
    </row>
    <row r="61" spans="1:7" s="4" customFormat="1" ht="11.25" customHeight="1">
      <c r="B61" s="134" t="s">
        <v>102</v>
      </c>
      <c r="C61" s="139"/>
      <c r="D61" s="136"/>
      <c r="E61" s="132"/>
      <c r="F61" s="140"/>
      <c r="G61" s="79"/>
    </row>
    <row r="62" spans="1:7" s="4" customFormat="1" ht="14.1" customHeight="1">
      <c r="B62" s="134" t="s">
        <v>103</v>
      </c>
      <c r="C62" s="139"/>
      <c r="D62" s="136"/>
      <c r="E62" s="132"/>
      <c r="F62" s="140"/>
      <c r="G62" s="79"/>
    </row>
    <row r="63" spans="1:7" s="4" customFormat="1" ht="14.1" customHeight="1">
      <c r="B63" s="134" t="s">
        <v>104</v>
      </c>
      <c r="C63" s="139"/>
      <c r="D63" s="136"/>
      <c r="E63" s="132"/>
      <c r="F63" s="140"/>
      <c r="G63" s="79"/>
    </row>
    <row r="64" spans="1:7" s="17" customFormat="1" ht="17.100000000000001" customHeight="1">
      <c r="A64" s="4"/>
      <c r="B64" s="3"/>
      <c r="C64" s="16"/>
      <c r="D64" s="15"/>
      <c r="E64" s="14"/>
      <c r="F64" s="15"/>
      <c r="G64" s="4"/>
    </row>
    <row r="65" spans="4:6" ht="17.100000000000001" customHeight="1">
      <c r="D65" s="18"/>
      <c r="E65" s="19"/>
      <c r="F65" s="18"/>
    </row>
    <row r="66" spans="4:6" ht="17.100000000000001" customHeight="1">
      <c r="D66" s="18"/>
      <c r="E66" s="19"/>
      <c r="F66" s="18"/>
    </row>
  </sheetData>
  <mergeCells count="2">
    <mergeCell ref="B1:G1"/>
    <mergeCell ref="B2:G2"/>
  </mergeCells>
  <phoneticPr fontId="17" type="noConversion"/>
  <printOptions horizontalCentered="1" verticalCentered="1"/>
  <pageMargins left="0.39370078740157483" right="0.39370078740157483" top="0.70866141732283472" bottom="0.15748031496062992" header="0.51181102362204722" footer="0.23622047244094491"/>
  <pageSetup paperSize="9" scale="7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</vt:i4>
      </vt:variant>
    </vt:vector>
  </HeadingPairs>
  <TitlesOfParts>
    <vt:vector size="26" baseType="lpstr">
      <vt:lpstr>기본현황(총괄)</vt:lpstr>
      <vt:lpstr>기본현황(전월대비변동)</vt:lpstr>
      <vt:lpstr>기본현황(경합형태별현황)</vt:lpstr>
      <vt:lpstr>기본현황(성별현황)</vt:lpstr>
      <vt:lpstr>기본현황(연령별현황)</vt:lpstr>
      <vt:lpstr>실인원수(성별연령별)</vt:lpstr>
      <vt:lpstr>서울특별시</vt:lpstr>
      <vt:lpstr>부산광역시</vt:lpstr>
      <vt:lpstr>대구광역시</vt:lpstr>
      <vt:lpstr>인천광역시</vt:lpstr>
      <vt:lpstr>광주광역시</vt:lpstr>
      <vt:lpstr>대전광역시</vt:lpstr>
      <vt:lpstr>울산광역시</vt:lpstr>
      <vt:lpstr>세종특별자치시</vt:lpstr>
      <vt:lpstr>경기도</vt:lpstr>
      <vt:lpstr>강원도</vt:lpstr>
      <vt:lpstr>충청북도</vt:lpstr>
      <vt:lpstr>충청남도</vt:lpstr>
      <vt:lpstr>전라북도</vt:lpstr>
      <vt:lpstr>전라남도</vt:lpstr>
      <vt:lpstr>경상북도</vt:lpstr>
      <vt:lpstr>경상남도</vt:lpstr>
      <vt:lpstr>제주특별자치도</vt:lpstr>
      <vt:lpstr>주소불명</vt:lpstr>
      <vt:lpstr>해외거주</vt:lpstr>
      <vt:lpstr>해당없음</vt:lpstr>
    </vt:vector>
  </TitlesOfParts>
  <Company>JOO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INIT-PC</cp:lastModifiedBy>
  <cp:lastPrinted>2017-06-08T02:08:44Z</cp:lastPrinted>
  <dcterms:created xsi:type="dcterms:W3CDTF">2013-12-05T02:30:02Z</dcterms:created>
  <dcterms:modified xsi:type="dcterms:W3CDTF">2026-06-01T07:22:53Z</dcterms:modified>
</cp:coreProperties>
</file>