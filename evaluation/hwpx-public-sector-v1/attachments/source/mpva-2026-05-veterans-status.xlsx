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itpc4\e드라이브\init\0.월말통계\2026\5월\기본,참전,고엽\보훈나라게시\"/>
    </mc:Choice>
  </mc:AlternateContent>
  <bookViews>
    <workbookView xWindow="0" yWindow="0" windowWidth="23040" windowHeight="8970" tabRatio="928"/>
  </bookViews>
  <sheets>
    <sheet name="참전(총괄)" sheetId="60" r:id="rId1"/>
    <sheet name="고엽제후유(의)증 현황(총괄)" sheetId="61" r:id="rId2"/>
    <sheet name="서울특별시" sheetId="12" r:id="rId3"/>
    <sheet name="부산광역시" sheetId="1" r:id="rId4"/>
    <sheet name="대구광역시" sheetId="13" r:id="rId5"/>
    <sheet name="인천광역시" sheetId="14" r:id="rId6"/>
    <sheet name="광주광역시" sheetId="15" r:id="rId7"/>
    <sheet name="대전광역시" sheetId="16" r:id="rId8"/>
    <sheet name="울산광역시" sheetId="17" r:id="rId9"/>
    <sheet name="세종특별자치시" sheetId="18" r:id="rId10"/>
    <sheet name="경기도" sheetId="19" r:id="rId11"/>
    <sheet name="강원도" sheetId="20" r:id="rId12"/>
    <sheet name="충청북도" sheetId="21" r:id="rId13"/>
    <sheet name="충청남도" sheetId="22" r:id="rId14"/>
    <sheet name="전라북도" sheetId="23" r:id="rId15"/>
    <sheet name="전라남도" sheetId="24" r:id="rId16"/>
    <sheet name="경상북도" sheetId="25" r:id="rId17"/>
    <sheet name="경상남도" sheetId="26" r:id="rId18"/>
    <sheet name="제주특별자치도" sheetId="27" r:id="rId19"/>
    <sheet name="해외거주" sheetId="28" r:id="rId20"/>
    <sheet name="주소불명" sheetId="29" r:id="rId21"/>
    <sheet name="해당없음" sheetId="70" r:id="rId22"/>
    <sheet name="고엽-세로" sheetId="69" r:id="rId23"/>
  </sheets>
  <definedNames>
    <definedName name="_">#N/A</definedName>
    <definedName name="__">#N/A</definedName>
    <definedName name="___">#N/A</definedName>
    <definedName name="_______">#N/A</definedName>
    <definedName name="___________">#N/A</definedName>
    <definedName name="_1_">#N/A</definedName>
    <definedName name="_xlnm.Print_Area" localSheetId="11">강원도!$A$1:$K$35</definedName>
    <definedName name="_xlnm.Print_Area" localSheetId="10">경기도!$A$1:$K$35</definedName>
    <definedName name="_xlnm.Print_Area" localSheetId="17">경상남도!$A$1:$K$35</definedName>
    <definedName name="_xlnm.Print_Area" localSheetId="16">경상북도!$A$1:$K$35</definedName>
    <definedName name="_xlnm.Print_Area" localSheetId="22">'고엽-세로'!$A$1:$O$42</definedName>
    <definedName name="_xlnm.Print_Area" localSheetId="6">광주광역시!$A$1:$K$35</definedName>
    <definedName name="_xlnm.Print_Area" localSheetId="4">대구광역시!$A$1:$K$35</definedName>
    <definedName name="_xlnm.Print_Area" localSheetId="7">대전광역시!$A$1:$K$35</definedName>
    <definedName name="_xlnm.Print_Area" localSheetId="3">부산광역시!$A$1:$K$35</definedName>
    <definedName name="_xlnm.Print_Area" localSheetId="2">서울특별시!$A$1:$K$35</definedName>
    <definedName name="_xlnm.Print_Area" localSheetId="9">세종특별자치시!$A$1:$K$35</definedName>
    <definedName name="_xlnm.Print_Area" localSheetId="8">울산광역시!$A$1:$K$35</definedName>
    <definedName name="_xlnm.Print_Area" localSheetId="5">인천광역시!$A$1:$K$35</definedName>
    <definedName name="_xlnm.Print_Area" localSheetId="15">전라남도!$A$1:$K$35</definedName>
    <definedName name="_xlnm.Print_Area" localSheetId="14">전라북도!$A$1:$K$35</definedName>
    <definedName name="_xlnm.Print_Area" localSheetId="18">제주특별자치도!$A$1:$K$35</definedName>
    <definedName name="_xlnm.Print_Area" localSheetId="20">주소불명!$A$1:$K$35</definedName>
    <definedName name="_xlnm.Print_Area" localSheetId="0">'참전(총괄)'!$A$1:$K$36</definedName>
    <definedName name="_xlnm.Print_Area" localSheetId="13">충청남도!$A$1:$K$35</definedName>
    <definedName name="_xlnm.Print_Area" localSheetId="12">충청북도!$A$1:$K$35</definedName>
    <definedName name="_xlnm.Print_Area" localSheetId="21">해당없음!$A$1:$K$35</definedName>
    <definedName name="_xlnm.Print_Area" localSheetId="19">해외거주!$A$1:$K$35</definedName>
  </definedNames>
  <calcPr calcId="162913"/>
</workbook>
</file>

<file path=xl/calcChain.xml><?xml version="1.0" encoding="utf-8"?>
<calcChain xmlns="http://schemas.openxmlformats.org/spreadsheetml/2006/main">
  <c r="H38" i="61" l="1"/>
  <c r="G28" i="61" l="1"/>
  <c r="E28" i="61" s="1"/>
  <c r="G8" i="61" s="1"/>
  <c r="D32" i="69" l="1"/>
  <c r="F49" i="69" l="1"/>
  <c r="M8" i="69" s="1"/>
  <c r="F22" i="69" l="1"/>
  <c r="M7" i="69" s="1"/>
  <c r="G27" i="61" l="1"/>
  <c r="E41" i="69" l="1"/>
  <c r="G8" i="69" s="1"/>
  <c r="E28" i="69"/>
  <c r="F18" i="69"/>
  <c r="J7" i="69" s="1"/>
  <c r="E14" i="69"/>
  <c r="C14" i="69" s="1"/>
  <c r="G7" i="69" s="1"/>
  <c r="G15" i="61" l="1"/>
  <c r="E15" i="61" s="1"/>
  <c r="G7" i="61" s="1"/>
  <c r="C28" i="69" l="1"/>
  <c r="F36" i="69" l="1"/>
  <c r="O8" i="61"/>
  <c r="H37" i="61"/>
  <c r="H18" i="61"/>
  <c r="K7" i="61" s="1"/>
  <c r="H21" i="61"/>
  <c r="O7" i="61" s="1"/>
  <c r="E45" i="69" l="1"/>
  <c r="J8" i="69" s="1"/>
  <c r="E33" i="61"/>
  <c r="K8" i="61" s="1"/>
  <c r="E32" i="61"/>
  <c r="E27" i="61"/>
</calcChain>
</file>

<file path=xl/comments1.xml><?xml version="1.0" encoding="utf-8"?>
<comments xmlns="http://schemas.openxmlformats.org/spreadsheetml/2006/main">
  <authors>
    <author>admin</author>
  </authors>
  <commentList>
    <comment ref="H31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중복등록자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현황은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등록된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대상에도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등록되었을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  <r>
          <rPr>
            <sz val="9"/>
            <color indexed="81"/>
            <rFont val="Tahoma"/>
            <family val="2"/>
          </rPr>
          <t>.
(</t>
        </r>
        <r>
          <rPr>
            <sz val="9"/>
            <color indexed="81"/>
            <rFont val="돋움"/>
            <family val="3"/>
            <charset val="129"/>
          </rPr>
          <t>예</t>
        </r>
        <r>
          <rPr>
            <sz val="9"/>
            <color indexed="81"/>
            <rFont val="Tahoma"/>
            <family val="2"/>
          </rPr>
          <t>) 6.25</t>
        </r>
        <r>
          <rPr>
            <sz val="9"/>
            <color indexed="81"/>
            <rFont val="돋움"/>
            <family val="3"/>
            <charset val="129"/>
          </rPr>
          <t>참전이면서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전상군경에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등록된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인원</t>
        </r>
        <r>
          <rPr>
            <sz val="9"/>
            <color indexed="81"/>
            <rFont val="Tahoma"/>
            <family val="2"/>
          </rPr>
          <t xml:space="preserve"> 59,580</t>
        </r>
        <r>
          <rPr>
            <sz val="9"/>
            <color indexed="81"/>
            <rFont val="돋움"/>
            <family val="3"/>
            <charset val="129"/>
          </rPr>
          <t>명은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순수하게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대상에만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등록된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아니라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대상으로도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등록되었을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  <r>
          <rPr>
            <sz val="9"/>
            <color indexed="81"/>
            <rFont val="Tahoma"/>
            <family val="2"/>
          </rPr>
          <t>.</t>
        </r>
      </text>
    </comment>
  </commentList>
</comments>
</file>

<file path=xl/comments2.xml><?xml version="1.0" encoding="utf-8"?>
<comments xmlns="http://schemas.openxmlformats.org/spreadsheetml/2006/main">
  <authors>
    <author>admin</author>
  </authors>
  <commentList>
    <comment ref="AD27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질병명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미입력자</t>
        </r>
        <r>
          <rPr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돋움"/>
            <family val="3"/>
            <charset val="129"/>
          </rPr>
          <t>인</t>
        </r>
      </text>
    </comment>
    <comment ref="V38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허혈성심혈질환</t>
        </r>
        <r>
          <rPr>
            <sz val="9"/>
            <color indexed="81"/>
            <rFont val="Tahoma"/>
            <family val="2"/>
          </rPr>
          <t>=</t>
        </r>
        <r>
          <rPr>
            <sz val="9"/>
            <color indexed="81"/>
            <rFont val="돋움"/>
            <family val="3"/>
            <charset val="129"/>
          </rPr>
          <t xml:space="preserve">허혈성심장질환
</t>
        </r>
        <r>
          <rPr>
            <sz val="9"/>
            <color indexed="81"/>
            <rFont val="Tahoma"/>
            <family val="2"/>
          </rPr>
          <t xml:space="preserve">=&gt; </t>
        </r>
        <r>
          <rPr>
            <sz val="9"/>
            <color indexed="81"/>
            <rFont val="돋움"/>
            <family val="3"/>
            <charset val="129"/>
          </rPr>
          <t>후유증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해당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원장정리대상</t>
        </r>
        <r>
          <rPr>
            <sz val="9"/>
            <color indexed="81"/>
            <rFont val="Tahoma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<sst xmlns="http://schemas.openxmlformats.org/spreadsheetml/2006/main" count="1756" uniqueCount="198">
  <si>
    <t/>
  </si>
  <si>
    <t>계</t>
  </si>
  <si>
    <t>합계</t>
  </si>
  <si>
    <t>1급</t>
  </si>
  <si>
    <t>2 급</t>
  </si>
  <si>
    <t>3 급</t>
  </si>
  <si>
    <t>4 급</t>
  </si>
  <si>
    <t>5 급</t>
  </si>
  <si>
    <t>6 급</t>
  </si>
  <si>
    <t>7 급</t>
  </si>
  <si>
    <t>간질환(B.C형간염제외)</t>
  </si>
  <si>
    <t>60~64</t>
  </si>
  <si>
    <t>65~69</t>
  </si>
  <si>
    <t>70~74</t>
  </si>
  <si>
    <t>75~79</t>
  </si>
  <si>
    <t>80~84</t>
  </si>
  <si>
    <t>85~89</t>
  </si>
  <si>
    <t>90~94</t>
  </si>
  <si>
    <t>95~99</t>
  </si>
  <si>
    <t>전상군경</t>
  </si>
  <si>
    <t>공상군경</t>
  </si>
  <si>
    <t>무공수훈자</t>
  </si>
  <si>
    <t>고엽제후유의증</t>
  </si>
  <si>
    <t xml:space="preserve">       3) 질병별 현황은 복수 질병자인 경우 대표 질병(질병 등급 우선)만을 고려함</t>
  </si>
  <si>
    <t>비호지킨_x000D_
임파선암</t>
  </si>
  <si>
    <t>연조직_x000D_
육종암</t>
  </si>
  <si>
    <t>염소성_x000D_
여드름</t>
  </si>
  <si>
    <t>말초신경병</t>
  </si>
  <si>
    <t>호지킨병</t>
  </si>
  <si>
    <t>폐암</t>
  </si>
  <si>
    <t>기관암</t>
  </si>
  <si>
    <t>다발성_x000D_
골수종</t>
  </si>
  <si>
    <t>전립선암</t>
  </si>
  <si>
    <t>버거병</t>
  </si>
  <si>
    <t>당뇨병</t>
  </si>
  <si>
    <t>B-세포형_x000D_
만성백혈병</t>
  </si>
  <si>
    <t>파킨슨병</t>
  </si>
  <si>
    <t>허혈성_x000D_
심장질환</t>
  </si>
  <si>
    <t>AL아밀로이드증</t>
  </si>
  <si>
    <t>담낭암</t>
  </si>
  <si>
    <t>침샘암</t>
  </si>
  <si>
    <t>만발성피부포르피린증</t>
  </si>
  <si>
    <t>후두암</t>
  </si>
  <si>
    <t>만성골수성백혈병</t>
  </si>
  <si>
    <t>기타</t>
  </si>
  <si>
    <t>유족</t>
  </si>
  <si>
    <t>일광과민성피부염</t>
  </si>
  <si>
    <t>심상성건선</t>
  </si>
  <si>
    <t>지루성_x000D_
피부염</t>
  </si>
  <si>
    <t>만성담마진</t>
  </si>
  <si>
    <t>건성습진</t>
  </si>
  <si>
    <t>중추신경장애</t>
  </si>
  <si>
    <t>다발성신경마비</t>
  </si>
  <si>
    <t>근위축성신경측색경화증</t>
  </si>
  <si>
    <t>근질환</t>
  </si>
  <si>
    <t>뇌경색증</t>
  </si>
  <si>
    <t>뇌출혈</t>
  </si>
  <si>
    <t>악성종양</t>
  </si>
  <si>
    <t>고혈압</t>
  </si>
  <si>
    <t>동맥경화증</t>
  </si>
  <si>
    <t>고지혈증</t>
  </si>
  <si>
    <t>무혈성_x000D_
괴사증</t>
  </si>
  <si>
    <t>종합판정</t>
  </si>
  <si>
    <t>2세환자척추이분증_x000D_
(은폐성제외)</t>
  </si>
  <si>
    <t>2세환자하지마비척추병변</t>
  </si>
  <si>
    <t>2세환자말초신경병</t>
  </si>
  <si>
    <t>비고</t>
  </si>
  <si>
    <t>참전유공자 등록현황</t>
  </si>
  <si>
    <t xml:space="preserve"> [ 서울특별시 ]</t>
  </si>
  <si>
    <t>구     분</t>
  </si>
  <si>
    <t>100세 이상</t>
  </si>
  <si>
    <t>6ㆍ25참전</t>
  </si>
  <si>
    <t>월남참전</t>
  </si>
  <si>
    <t>6ㆍ25 및 월남</t>
  </si>
  <si>
    <t>주. 제적(국적상실) 제외</t>
  </si>
  <si>
    <t xml:space="preserve">      한 가지 이상 경합된 자를 제외한 현황. (일반참전유공자)</t>
  </si>
  <si>
    <t xml:space="preserve">      한 가지 이상 경합된 자 현황</t>
  </si>
  <si>
    <t xml:space="preserve"> ○ 「참전유공자로 등록된 자」중</t>
  </si>
  <si>
    <t xml:space="preserve">     「전상군경·공상군경·무공수훈·재일학도의용군인·지원공상군경·고엽제후유의증」에 중복등록된 자 현황</t>
  </si>
  <si>
    <t>재일학도
의용군인</t>
  </si>
  <si>
    <t>지원공상
군경</t>
  </si>
  <si>
    <t>고엽제
후유의증</t>
  </si>
  <si>
    <t>비고 (예시)</t>
  </si>
  <si>
    <t xml:space="preserve"> 6·25참전이면서 전상군경에 등록된 인원</t>
  </si>
  <si>
    <t xml:space="preserve"> 월남참전이면서 공상군경에 등록된 인원</t>
  </si>
  <si>
    <t xml:space="preserve"> 6·25및월남참전이면서 무공수훈자에 등록된 인원</t>
  </si>
  <si>
    <t>주.  ‡ 중복이 포함된 계(ex. 월남참전이면서 전상군경, 무공수훈, 고엽제후유의증에 등록된 경우 3건을 모두 "계"에 반영)로 실인원 아님</t>
  </si>
  <si>
    <r>
      <rPr>
        <b/>
        <sz val="12"/>
        <color indexed="0"/>
        <rFont val="맑은 고딕"/>
        <family val="3"/>
        <charset val="129"/>
      </rPr>
      <t xml:space="preserve"> ○ </t>
    </r>
    <r>
      <rPr>
        <b/>
        <sz val="12"/>
        <color indexed="0"/>
        <rFont val="맑은 고딕"/>
        <family val="3"/>
        <charset val="129"/>
      </rPr>
      <t>참전유공자 연령별 현황</t>
    </r>
  </si>
  <si>
    <r>
      <t xml:space="preserve">  </t>
    </r>
    <r>
      <rPr>
        <sz val="10"/>
        <color indexed="0"/>
        <rFont val="맑은 고딕"/>
        <family val="3"/>
        <charset val="129"/>
      </rPr>
      <t>○ 참전유공자로서 「전상군경·공상군경·무공수훈·재일학도의용군인·지원공상군경·고엽제후유의증」중</t>
    </r>
  </si>
  <si>
    <r>
      <rPr>
        <sz val="10"/>
        <color indexed="0"/>
        <rFont val="맑은 고딕"/>
        <family val="3"/>
        <charset val="129"/>
      </rPr>
      <t xml:space="preserve">  ○ 참전유공자로서 「전상군경·공상군경·무공수훈·재일학도의용군인·지원공상군경·고엽제후유의증」중</t>
    </r>
  </si>
  <si>
    <r>
      <t xml:space="preserve">  </t>
    </r>
    <r>
      <rPr>
        <sz val="10"/>
        <color indexed="0"/>
        <rFont val="맑은 고딕"/>
        <family val="3"/>
        <charset val="129"/>
      </rPr>
      <t>○ 참전유공자로서 「전상군경·공상군경·무공수훈·재일학도의용군인·지원공상군경·고엽제후유의증」중</t>
    </r>
    <phoneticPr fontId="3" type="noConversion"/>
  </si>
  <si>
    <t xml:space="preserve"> [ 부산광역시 ]</t>
  </si>
  <si>
    <t xml:space="preserve"> [ 대구광역시 ]</t>
  </si>
  <si>
    <t xml:space="preserve"> [ 인천광역시 ]</t>
  </si>
  <si>
    <t xml:space="preserve"> [ 광주광역시 ]</t>
  </si>
  <si>
    <t xml:space="preserve"> [ 대전광역시 ]</t>
  </si>
  <si>
    <t xml:space="preserve"> [ 울산광역시 ]</t>
  </si>
  <si>
    <t xml:space="preserve"> [ 세종특별자치시 ]</t>
  </si>
  <si>
    <t xml:space="preserve"> [ 경기도 ]</t>
  </si>
  <si>
    <t xml:space="preserve"> [ 강원도 ]</t>
  </si>
  <si>
    <t xml:space="preserve"> [ 충청북도 ]</t>
  </si>
  <si>
    <t xml:space="preserve"> [ 충청남도 ]</t>
  </si>
  <si>
    <t xml:space="preserve"> [ 전라북도 ]</t>
  </si>
  <si>
    <t xml:space="preserve"> [ 전라남도 ]</t>
  </si>
  <si>
    <t xml:space="preserve"> [ 경상북도 ]</t>
  </si>
  <si>
    <t xml:space="preserve"> [ 경상남도 ]</t>
  </si>
  <si>
    <t xml:space="preserve"> [ 제주특별자치도 ]</t>
  </si>
  <si>
    <t xml:space="preserve"> [ 해외 ]</t>
  </si>
  <si>
    <t xml:space="preserve"> [ 주소불명 ]</t>
  </si>
  <si>
    <t>고엽제환자 등록현황</t>
  </si>
  <si>
    <t>[ 지역 전체 ]</t>
  </si>
  <si>
    <t>○ 고엽제후유(의)증 등록 현황 (총괄)</t>
  </si>
  <si>
    <t>구분</t>
  </si>
  <si>
    <t>고엽제후유증</t>
  </si>
  <si>
    <t>고엽제후유증2세</t>
  </si>
  <si>
    <t>○ 등급자 등급별 현황</t>
  </si>
  <si>
    <t xml:space="preserve">  - 고엽제후유증 상이등급별</t>
  </si>
  <si>
    <t>본  인</t>
  </si>
  <si>
    <t>소계</t>
  </si>
  <si>
    <t>등급자</t>
  </si>
  <si>
    <t xml:space="preserve">  - 고엽제후유의증 장애등급별</t>
  </si>
  <si>
    <t>고도장애</t>
  </si>
  <si>
    <t>중등도장애</t>
  </si>
  <si>
    <t>경도장애</t>
  </si>
  <si>
    <t xml:space="preserve">  - 고엽제 후유증2세 장애등급별</t>
  </si>
  <si>
    <t xml:space="preserve">  - 고엽제후유증 질병별</t>
  </si>
  <si>
    <t>비호지킨
임파선암</t>
  </si>
  <si>
    <t>염소성
여드름</t>
  </si>
  <si>
    <t>말초
신경병</t>
  </si>
  <si>
    <t>지루성
피부염</t>
  </si>
  <si>
    <t>중추신경
장애</t>
  </si>
  <si>
    <t>다발성
신경마비</t>
  </si>
  <si>
    <t>간질환</t>
  </si>
  <si>
    <t>2세환자척추
이분증(은폐성제외)</t>
  </si>
  <si>
    <t>2세환자
하지마비척추병변</t>
  </si>
  <si>
    <t>2세환자
말초신경병</t>
  </si>
  <si>
    <t>○ 등급기준미달자 질병별 현황</t>
  </si>
  <si>
    <t xml:space="preserve">  - 고엽제후유증 질병별 (등외)</t>
  </si>
  <si>
    <t>등급기준미달자</t>
  </si>
  <si>
    <t xml:space="preserve">  - 고엽제후유의증 질병별 (등외)</t>
  </si>
  <si>
    <t xml:space="preserve">  - 고엽제후유증2세 질병별 (등외)</t>
  </si>
  <si>
    <t>주석 1) 고엽제대상 등급자 현황은 중복 통계임</t>
  </si>
  <si>
    <t xml:space="preserve">      2) (신청대상 중 생존자 기준)고엽제대상 등급기준 미달자 현황은 각 대상 신청자가 (고엽제후유증, 고엽제후유의증, 고엽제후유증 2세환자 </t>
  </si>
  <si>
    <t xml:space="preserve">         등급자) 중 하나라도 해당되는 자는 제외한 현황임</t>
  </si>
  <si>
    <t xml:space="preserve">      3) 질병별 현황은 복수 질병자인 경우 대표 질병(질병 등급 우선)만을 고려함</t>
  </si>
  <si>
    <r>
      <t>등급자</t>
    </r>
    <r>
      <rPr>
        <sz val="8"/>
        <color indexed="0"/>
        <rFont val="맑은 고딕"/>
        <family val="3"/>
        <charset val="129"/>
      </rPr>
      <t xml:space="preserve"> 1)</t>
    </r>
  </si>
  <si>
    <r>
      <t>등급기준미달자</t>
    </r>
    <r>
      <rPr>
        <sz val="8"/>
        <color indexed="0"/>
        <rFont val="맑은 고딕"/>
        <family val="3"/>
        <charset val="129"/>
      </rPr>
      <t xml:space="preserve"> 2)</t>
    </r>
  </si>
  <si>
    <r>
      <t>○ 등급자 질병별 현황</t>
    </r>
    <r>
      <rPr>
        <sz val="8"/>
        <color indexed="0"/>
        <rFont val="맑은 고딕"/>
        <family val="3"/>
        <charset val="129"/>
      </rPr>
      <t>3)</t>
    </r>
  </si>
  <si>
    <t>&lt;질병별로 모두 표시&gt;</t>
  </si>
  <si>
    <t>[ 전체 지역 ]</t>
  </si>
  <si>
    <t>□ 고엽제후유(의)증 등록 현황 (총괄)</t>
  </si>
  <si>
    <t>□ 등급자 등급별 현황</t>
  </si>
  <si>
    <t xml:space="preserve">   ❍ 고엽제후유증 상이등급별</t>
  </si>
  <si>
    <t xml:space="preserve">   ❍ 고엽제후유의증 장애등급별</t>
  </si>
  <si>
    <t xml:space="preserve">   ❍ 고엽제 후유증2세 장애등급별</t>
  </si>
  <si>
    <t xml:space="preserve">   ❍ 고엽제후유증 질병별</t>
  </si>
  <si>
    <r>
      <t>등급자</t>
    </r>
    <r>
      <rPr>
        <b/>
        <vertAlign val="superscript"/>
        <sz val="10"/>
        <rFont val="맑은 고딕"/>
        <family val="3"/>
        <charset val="129"/>
      </rPr>
      <t>1)</t>
    </r>
  </si>
  <si>
    <r>
      <t>등급기준미달자</t>
    </r>
    <r>
      <rPr>
        <b/>
        <vertAlign val="superscript"/>
        <sz val="10"/>
        <rFont val="맑은 고딕"/>
        <family val="3"/>
        <charset val="129"/>
      </rPr>
      <t>2)</t>
    </r>
  </si>
  <si>
    <r>
      <t xml:space="preserve">       2)</t>
    </r>
    <r>
      <rPr>
        <sz val="10"/>
        <color indexed="8"/>
        <rFont val="맑은 고딕"/>
        <family val="3"/>
        <charset val="129"/>
      </rPr>
      <t xml:space="preserve"> (신청대상 중 생존자 기준)</t>
    </r>
    <r>
      <rPr>
        <sz val="10"/>
        <rFont val="맑은 고딕"/>
        <family val="3"/>
        <charset val="129"/>
      </rPr>
      <t>고엽제대상 등급기준 미달자 현황은 각 대상 신청자가 (고엽제후유증, 고엽제후유의증, 고엽제후유증 2세환자 등급자) 중 하나라도 해당되는 자는 제외한 현황임</t>
    </r>
  </si>
  <si>
    <t xml:space="preserve"> [ 지역 전체 ]</t>
  </si>
  <si>
    <t>고엽제후유(의)증요약이력</t>
  </si>
  <si>
    <t xml:space="preserve">※ 후유증 등급자와 후유의증 등급자의 중복인원수 : </t>
  </si>
  <si>
    <t>□ 등급자/등급기준미달자 질병별 현황3)</t>
  </si>
  <si>
    <t>-</t>
  </si>
  <si>
    <t xml:space="preserve">   ❍ 고엽제후유의증 질병별</t>
  </si>
  <si>
    <t xml:space="preserve">   ❍ 고엽제후유증2세 질병별</t>
  </si>
  <si>
    <t>100세 이상</t>
  </si>
  <si>
    <t>경도장애</t>
    <phoneticPr fontId="3" type="noConversion"/>
  </si>
  <si>
    <t xml:space="preserve"> [ 해당없음 ]</t>
    <phoneticPr fontId="3" type="noConversion"/>
  </si>
  <si>
    <t>기타</t>
    <phoneticPr fontId="3" type="noConversion"/>
  </si>
  <si>
    <t xml:space="preserve">  - 고엽제후유의증 질병별</t>
    <phoneticPr fontId="3" type="noConversion"/>
  </si>
  <si>
    <t xml:space="preserve">  - 고엽제후유증2세 질병별</t>
    <phoneticPr fontId="3" type="noConversion"/>
  </si>
  <si>
    <t>참전유공자 등록현황</t>
    <phoneticPr fontId="3" type="noConversion"/>
  </si>
  <si>
    <t>재일학도 의용군인</t>
  </si>
  <si>
    <t>지원공상 군경</t>
  </si>
  <si>
    <t>고엽제 후유의증</t>
  </si>
  <si>
    <t>비고 (예시)</t>
  </si>
  <si>
    <t> 6·25참전이면서 전상군경에 등록된 인원</t>
  </si>
  <si>
    <t> 월남참전이면서 공상군경에 등록된 인원</t>
  </si>
  <si>
    <t> 6·25및월남참전이면서 무공수훈자에 등록된 인원</t>
  </si>
  <si>
    <t>참전유공자 등록현황</t>
    <phoneticPr fontId="3" type="noConversion"/>
  </si>
  <si>
    <t>구     분</t>
  </si>
  <si>
    <t>6ㆍ25 및 월남</t>
  </si>
  <si>
    <t>주. 제적(국적상실) 제외</t>
  </si>
  <si>
    <t>  ○ 참전유공자로서 「전상군경·공상군경·무공수훈·재일학도의용군인·지원공상군경·고엽제후유의증」중</t>
  </si>
  <si>
    <t>      한 가지 이상 경합된 자를 제외한 현황. (일반참전유공자)</t>
  </si>
  <si>
    <t>      한 가지 이상 경합된 자 현황</t>
  </si>
  <si>
    <t>참전유공자 등록현황</t>
    <phoneticPr fontId="3" type="noConversion"/>
  </si>
  <si>
    <t>(2026.05월말 기준, 단위 : 명)</t>
    <phoneticPr fontId="3" type="noConversion"/>
  </si>
  <si>
    <t>(2026.05월말 기준, 단위 : 명)</t>
    <phoneticPr fontId="3" type="noConversion"/>
  </si>
  <si>
    <t>(2026.05월말 기준, 단위 : 명)</t>
    <phoneticPr fontId="3" type="noConversion"/>
  </si>
  <si>
    <t>(2026.05월말 기준, 단위 : 명)</t>
    <phoneticPr fontId="3" type="noConversion"/>
  </si>
  <si>
    <t>(2026.05월말 기준, 단위 : 명)</t>
    <phoneticPr fontId="3" type="noConversion"/>
  </si>
  <si>
    <t>(2026.05월말 기준, 단위 : 명)</t>
    <phoneticPr fontId="3" type="noConversion"/>
  </si>
  <si>
    <t>(2026.05월말 기준, 단위 : 명)</t>
    <phoneticPr fontId="3" type="noConversion"/>
  </si>
  <si>
    <t>(2026.05월말 기준, 단위 : 명)</t>
    <phoneticPr fontId="3" type="noConversion"/>
  </si>
  <si>
    <t>(2026.05월말 기준, 단위 : 명)</t>
    <phoneticPr fontId="3" type="noConversion"/>
  </si>
  <si>
    <t>(2026년 05월말 기준, 단위 : 명)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</si>
</sst>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-* #,##0_-;\-* #,##0_-;_-* &quot;-&quot;_-;_-@_-"/>
    <numFmt numFmtId="176" formatCode="#,##0;[Red]#,##0"/>
    <numFmt numFmtId="177" formatCode="&quot;₩&quot;#,##0.00;&quot;₩&quot;\-#,##0.00"/>
    <numFmt numFmtId="178" formatCode="_(* #,##0_);_(* \(#,##0\);_(* &quot;-&quot;_);_(@_)"/>
  </numFmts>
  <fonts count="100">
    <font>
      <sz val="10"/>
      <color theme="1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2"/>
      <name val="바탕"/>
      <family val="1"/>
      <charset val="129"/>
    </font>
    <font>
      <sz val="8"/>
      <name val="맑은 고딕"/>
      <family val="3"/>
      <charset val="129"/>
    </font>
    <font>
      <sz val="20"/>
      <name val="HY헤드라인M"/>
      <family val="1"/>
      <charset val="129"/>
    </font>
    <font>
      <sz val="16"/>
      <name val="HY헤드라인M"/>
      <family val="1"/>
      <charset val="129"/>
    </font>
    <font>
      <b/>
      <sz val="14"/>
      <name val="맑은 고딕"/>
      <family val="3"/>
      <charset val="129"/>
    </font>
    <font>
      <sz val="11"/>
      <name val="돋움"/>
      <family val="3"/>
      <charset val="129"/>
    </font>
    <font>
      <sz val="13"/>
      <name val="맑은 고딕"/>
      <family val="3"/>
      <charset val="129"/>
    </font>
    <font>
      <b/>
      <sz val="12"/>
      <name val="맑은 고딕"/>
      <family val="3"/>
      <charset val="129"/>
    </font>
    <font>
      <sz val="12"/>
      <name val="맑은 고딕"/>
      <family val="3"/>
      <charset val="129"/>
    </font>
    <font>
      <b/>
      <sz val="11"/>
      <name val="맑은 고딕"/>
      <family val="3"/>
      <charset val="129"/>
    </font>
    <font>
      <b/>
      <sz val="9"/>
      <name val="맑은 고딕"/>
      <family val="3"/>
      <charset val="129"/>
    </font>
    <font>
      <b/>
      <sz val="13"/>
      <name val="맑은 고딕"/>
      <family val="3"/>
      <charset val="129"/>
    </font>
    <font>
      <sz val="9"/>
      <name val="맑은 고딕"/>
      <family val="3"/>
      <charset val="129"/>
    </font>
    <font>
      <sz val="14"/>
      <name val="뼻뮝"/>
      <family val="1"/>
      <charset val="129"/>
    </font>
    <font>
      <b/>
      <sz val="18"/>
      <color indexed="8"/>
      <name val="-윤명조140"/>
      <family val="1"/>
      <charset val="129"/>
    </font>
    <font>
      <sz val="12"/>
      <name val="뼻뮝"/>
      <family val="1"/>
      <charset val="129"/>
    </font>
    <font>
      <sz val="10"/>
      <name val="굴림체"/>
      <family val="3"/>
      <charset val="129"/>
    </font>
    <font>
      <sz val="13"/>
      <name val="견고딕"/>
      <family val="1"/>
      <charset val="129"/>
    </font>
    <font>
      <sz val="12"/>
      <name val="바탕체"/>
      <family val="1"/>
      <charset val="129"/>
    </font>
    <font>
      <sz val="10"/>
      <name val="바탕"/>
      <family val="1"/>
      <charset val="129"/>
    </font>
    <font>
      <sz val="10"/>
      <name val="Arial"/>
      <family val="2"/>
    </font>
    <font>
      <sz val="12"/>
      <name val="ⓒoUAAA¨u"/>
      <family val="1"/>
      <charset val="129"/>
    </font>
    <font>
      <sz val="11"/>
      <name val="￥i￠￢￠?o"/>
      <family val="3"/>
      <charset val="129"/>
    </font>
    <font>
      <sz val="12"/>
      <name val="¹UAAA¼"/>
      <family val="3"/>
      <charset val="129"/>
    </font>
    <font>
      <sz val="12"/>
      <name val="System"/>
      <family val="2"/>
      <charset val="129"/>
    </font>
    <font>
      <b/>
      <sz val="12"/>
      <name val="Arial"/>
      <family val="2"/>
    </font>
    <font>
      <b/>
      <sz val="18"/>
      <name val="Arial"/>
      <family val="2"/>
    </font>
    <font>
      <b/>
      <sz val="11"/>
      <name val="Helv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b/>
      <sz val="12"/>
      <color indexed="0"/>
      <name val="맑은 고딕"/>
      <family val="3"/>
      <charset val="129"/>
    </font>
    <font>
      <sz val="10"/>
      <color indexed="0"/>
      <name val="맑은 고딕"/>
      <family val="3"/>
      <charset val="129"/>
    </font>
    <font>
      <sz val="8"/>
      <color indexed="0"/>
      <name val="맑은 고딕"/>
      <family val="3"/>
      <charset val="129"/>
    </font>
    <font>
      <b/>
      <vertAlign val="superscript"/>
      <sz val="10"/>
      <name val="맑은 고딕"/>
      <family val="3"/>
      <charset val="129"/>
    </font>
    <font>
      <b/>
      <sz val="11"/>
      <name val="Helv"/>
      <family val="2"/>
    </font>
    <font>
      <sz val="11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1"/>
      <name val="맑은 고딕"/>
      <family val="3"/>
      <charset val="129"/>
    </font>
    <font>
      <sz val="18"/>
      <name val="맑은 고딕"/>
      <family val="3"/>
      <charset val="129"/>
    </font>
    <font>
      <sz val="11"/>
      <color indexed="12"/>
      <name val="맑은 고딕"/>
      <family val="3"/>
      <charset val="129"/>
    </font>
    <font>
      <b/>
      <sz val="11"/>
      <color indexed="18"/>
      <name val="맑은 고딕"/>
      <family val="3"/>
      <charset val="129"/>
    </font>
    <font>
      <b/>
      <sz val="11"/>
      <name val="맑은 고딕"/>
      <family val="3"/>
      <charset val="129"/>
    </font>
    <font>
      <sz val="12"/>
      <name val="맑은 고딕"/>
      <family val="3"/>
      <charset val="129"/>
    </font>
    <font>
      <sz val="20"/>
      <name val="맑은 고딕"/>
      <family val="3"/>
      <charset val="129"/>
    </font>
    <font>
      <sz val="12"/>
      <color indexed="12"/>
      <name val="맑은 고딕"/>
      <family val="3"/>
      <charset val="129"/>
    </font>
    <font>
      <b/>
      <sz val="16"/>
      <color indexed="18"/>
      <name val="맑은 고딕"/>
      <family val="3"/>
      <charset val="129"/>
    </font>
    <font>
      <b/>
      <sz val="13"/>
      <name val="맑은 고딕"/>
      <family val="3"/>
      <charset val="129"/>
    </font>
    <font>
      <b/>
      <sz val="12"/>
      <color indexed="8"/>
      <name val="맑은 고딕"/>
      <family val="3"/>
      <charset val="129"/>
    </font>
    <font>
      <b/>
      <sz val="9"/>
      <color indexed="8"/>
      <name val="맑은 고딕"/>
      <family val="3"/>
      <charset val="129"/>
    </font>
    <font>
      <b/>
      <sz val="13"/>
      <color indexed="8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sz val="9"/>
      <color indexed="8"/>
      <name val="맑은 고딕"/>
      <family val="3"/>
      <charset val="129"/>
    </font>
    <font>
      <b/>
      <sz val="17"/>
      <color indexed="8"/>
      <name val="맑은 고딕"/>
      <family val="3"/>
      <charset val="129"/>
    </font>
    <font>
      <sz val="9"/>
      <name val="맑은 고딕"/>
      <family val="3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u/>
      <sz val="9"/>
      <color theme="10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u/>
      <sz val="14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3"/>
      <name val="맑은 고딕"/>
      <family val="3"/>
      <charset val="129"/>
      <scheme val="minor"/>
    </font>
    <font>
      <b/>
      <sz val="10"/>
      <color rgb="FF000099"/>
      <name val="맑은 고딕"/>
      <family val="3"/>
      <charset val="129"/>
      <scheme val="minor"/>
    </font>
    <font>
      <b/>
      <u/>
      <sz val="10"/>
      <color rgb="FF0000CC"/>
      <name val="맑은 고딕"/>
      <family val="3"/>
      <charset val="129"/>
      <scheme val="minor"/>
    </font>
    <font>
      <sz val="10"/>
      <color rgb="FF0000CC"/>
      <name val="맑은 고딕"/>
      <family val="3"/>
      <charset val="129"/>
      <scheme val="minor"/>
    </font>
    <font>
      <sz val="15"/>
      <name val="맑은 고딕"/>
      <family val="3"/>
      <charset val="129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7"/>
      <name val="맑은 고딕"/>
      <family val="3"/>
      <charset val="129"/>
      <scheme val="minor"/>
    </font>
    <font>
      <b/>
      <sz val="17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</fonts>
  <fills count="5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 tint="0.39994506668294322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5" tint="0.39994506668294322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6" tint="0.3999450666829432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7" tint="0.39994506668294322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8" tint="0.39994506668294322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450666829432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CC"/>
        <bgColor indexed="64"/>
      </patternFill>
    </fill>
  </fills>
  <borders count="190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23"/>
      </bottom>
      <diagonal/>
    </border>
    <border>
      <left/>
      <right style="medium">
        <color indexed="64"/>
      </right>
      <top style="thin">
        <color indexed="23"/>
      </top>
      <bottom style="hair">
        <color indexed="23"/>
      </bottom>
      <diagonal/>
    </border>
    <border>
      <left/>
      <right style="medium">
        <color indexed="64"/>
      </right>
      <top style="hair">
        <color indexed="23"/>
      </top>
      <bottom style="hair">
        <color indexed="23"/>
      </bottom>
      <diagonal/>
    </border>
    <border>
      <left/>
      <right style="medium">
        <color indexed="64"/>
      </right>
      <top style="hair">
        <color indexed="23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ck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ck">
        <color indexed="64"/>
      </bottom>
      <diagonal/>
    </border>
    <border>
      <left/>
      <right/>
      <top style="hair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hair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hair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8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8"/>
      </right>
      <top/>
      <bottom style="hair">
        <color indexed="64"/>
      </bottom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23"/>
      </bottom>
      <diagonal/>
    </border>
    <border>
      <left/>
      <right/>
      <top style="thin">
        <color indexed="23"/>
      </top>
      <bottom style="hair">
        <color indexed="23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hair">
        <color indexed="8"/>
      </bottom>
      <diagonal/>
    </border>
    <border>
      <left/>
      <right style="thin">
        <color indexed="8"/>
      </right>
      <top style="hair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hair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/>
      <right/>
      <top style="medium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indexed="8"/>
      </left>
      <right/>
      <top/>
      <bottom style="hair">
        <color indexed="64"/>
      </bottom>
      <diagonal/>
    </border>
    <border>
      <left style="thin">
        <color indexed="8"/>
      </left>
      <right/>
      <top style="medium">
        <color indexed="8"/>
      </top>
      <bottom/>
      <diagonal/>
    </border>
    <border>
      <left/>
      <right style="thin">
        <color indexed="8"/>
      </right>
      <top style="medium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medium">
        <color theme="4" tint="0.3999450666829432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 style="medium">
        <color indexed="64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theme="0" tint="-0.499984740745262"/>
      </bottom>
      <diagonal/>
    </border>
    <border>
      <left style="thin">
        <color indexed="64"/>
      </left>
      <right/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indexed="64"/>
      </right>
      <top style="thin">
        <color theme="0" tint="-0.499984740745262"/>
      </top>
      <bottom style="hair">
        <color theme="0" tint="-0.499984740745262"/>
      </bottom>
      <diagonal/>
    </border>
    <border>
      <left style="medium">
        <color indexed="64"/>
      </left>
      <right style="thin">
        <color indexed="64"/>
      </right>
      <top style="hair">
        <color theme="0" tint="-0.499984740745262"/>
      </top>
      <bottom style="hair">
        <color theme="0" tint="-0.499984740745262"/>
      </bottom>
      <diagonal/>
    </border>
    <border>
      <left style="medium">
        <color indexed="64"/>
      </left>
      <right style="thin">
        <color indexed="64"/>
      </right>
      <top style="hair">
        <color theme="0" tint="-0.499984740745262"/>
      </top>
      <bottom style="thick">
        <color indexed="64"/>
      </bottom>
      <diagonal/>
    </border>
    <border>
      <left/>
      <right style="thin">
        <color indexed="64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/>
      <top style="thin">
        <color theme="0" tint="-0.499984740745262"/>
      </top>
      <bottom style="hair">
        <color theme="0" tint="-0.499984740745262"/>
      </bottom>
      <diagonal/>
    </border>
    <border>
      <left/>
      <right style="thin">
        <color indexed="64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 style="thin">
        <color indexed="64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indexed="64"/>
      </right>
      <top style="hair">
        <color theme="0" tint="-0.499984740745262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hair">
        <color theme="0" tint="-0.499984740745262"/>
      </top>
      <bottom style="thick">
        <color indexed="64"/>
      </bottom>
      <diagonal/>
    </border>
    <border>
      <left style="thin">
        <color indexed="64"/>
      </left>
      <right/>
      <top style="hair">
        <color theme="0" tint="-0.499984740745262"/>
      </top>
      <bottom style="thick">
        <color indexed="64"/>
      </bottom>
      <diagonal/>
    </border>
    <border>
      <left style="thin">
        <color indexed="8"/>
      </left>
      <right style="thin">
        <color indexed="64"/>
      </right>
      <top/>
      <bottom style="hair">
        <color rgb="FF000000"/>
      </bottom>
      <diagonal/>
    </border>
    <border>
      <left style="thin">
        <color indexed="64"/>
      </left>
      <right style="thin">
        <color indexed="64"/>
      </right>
      <top/>
      <bottom style="hair">
        <color rgb="FF000000"/>
      </bottom>
      <diagonal/>
    </border>
    <border>
      <left style="thin">
        <color indexed="8"/>
      </left>
      <right/>
      <top/>
      <bottom style="hair">
        <color rgb="FF000000"/>
      </bottom>
      <diagonal/>
    </border>
    <border>
      <left/>
      <right style="thin">
        <color indexed="64"/>
      </right>
      <top style="thin">
        <color indexed="64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rgb="FF000000"/>
      </bottom>
      <diagonal/>
    </border>
    <border>
      <left style="thin">
        <color indexed="64"/>
      </left>
      <right/>
      <top style="thin">
        <color indexed="64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 style="thin">
        <color indexed="64"/>
      </right>
      <top style="hair">
        <color rgb="FF000000"/>
      </top>
      <bottom style="thin">
        <color indexed="8"/>
      </bottom>
      <diagonal/>
    </border>
    <border>
      <left/>
      <right/>
      <top style="hair">
        <color rgb="FF000000"/>
      </top>
      <bottom style="thin">
        <color indexed="8"/>
      </bottom>
      <diagonal/>
    </border>
    <border>
      <left style="thin">
        <color rgb="FF000000"/>
      </left>
      <right/>
      <top style="dotted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dotted">
        <color rgb="FF000000"/>
      </bottom>
      <diagonal/>
    </border>
    <border>
      <left style="medium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thin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7F7F7F"/>
      </bottom>
      <diagonal/>
    </border>
    <border>
      <left style="medium">
        <color rgb="FF000000"/>
      </left>
      <right style="thin">
        <color rgb="FF000000"/>
      </right>
      <top style="thin">
        <color rgb="FF7F7F7F"/>
      </top>
      <bottom style="dotted">
        <color rgb="FF7F7F7F"/>
      </bottom>
      <diagonal/>
    </border>
    <border>
      <left style="medium">
        <color rgb="FF000000"/>
      </left>
      <right style="thin">
        <color rgb="FF000000"/>
      </right>
      <top style="dotted">
        <color rgb="FF7F7F7F"/>
      </top>
      <bottom style="dotted">
        <color rgb="FF7F7F7F"/>
      </bottom>
      <diagonal/>
    </border>
    <border>
      <left style="medium">
        <color rgb="FF000000"/>
      </left>
      <right style="thin">
        <color rgb="FF000000"/>
      </right>
      <top style="dotted">
        <color rgb="FF7F7F7F"/>
      </top>
      <bottom style="thick">
        <color rgb="FF000000"/>
      </bottom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 style="thin">
        <color rgb="FF7F7F7F"/>
      </top>
      <bottom style="dotted">
        <color rgb="FF7F7F7F"/>
      </bottom>
      <diagonal/>
    </border>
    <border>
      <left/>
      <right style="thin">
        <color rgb="FF000000"/>
      </right>
      <top style="thin">
        <color rgb="FF7F7F7F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7F7F7F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7F7F7F"/>
      </bottom>
      <diagonal/>
    </border>
    <border>
      <left style="medium">
        <color rgb="FF000000"/>
      </left>
      <right style="thin">
        <color rgb="FF000000"/>
      </right>
      <top style="dotted">
        <color rgb="FF000000"/>
      </top>
      <bottom style="thick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hair">
        <color indexed="8"/>
      </top>
      <bottom style="hair">
        <color rgb="FF000000"/>
      </bottom>
      <diagonal/>
    </border>
    <border>
      <left/>
      <right style="thin">
        <color indexed="8"/>
      </right>
      <top style="hair">
        <color indexed="8"/>
      </top>
      <bottom style="hair">
        <color rgb="FF000000"/>
      </bottom>
      <diagonal/>
    </border>
    <border>
      <left/>
      <right style="thin">
        <color indexed="8"/>
      </right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thin">
        <color indexed="8"/>
      </left>
      <right/>
      <top style="thin">
        <color indexed="8"/>
      </top>
      <bottom style="hair">
        <color rgb="FF000000"/>
      </bottom>
      <diagonal/>
    </border>
    <border>
      <left/>
      <right style="thin">
        <color indexed="8"/>
      </right>
      <top style="thin">
        <color indexed="8"/>
      </top>
      <bottom style="hair">
        <color rgb="FF000000"/>
      </bottom>
      <diagonal/>
    </border>
    <border>
      <left/>
      <right style="thin">
        <color rgb="FF000000"/>
      </right>
      <top style="thin">
        <color indexed="8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indexed="8"/>
      </left>
      <right/>
      <top style="dotted">
        <color rgb="FF000000"/>
      </top>
      <bottom style="thin">
        <color rgb="FF000000"/>
      </bottom>
      <diagonal/>
    </border>
    <border>
      <left/>
      <right style="thin">
        <color indexed="8"/>
      </right>
      <top style="dotted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medium">
        <color rgb="FF000000"/>
      </bottom>
      <diagonal/>
    </border>
    <border>
      <left/>
      <right/>
      <top style="thin">
        <color indexed="8"/>
      </top>
      <bottom style="medium">
        <color rgb="FF000000"/>
      </bottom>
      <diagonal/>
    </border>
    <border>
      <left/>
      <right style="thin">
        <color indexed="8"/>
      </right>
      <top style="thin">
        <color indexed="8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/>
      <top style="thin">
        <color rgb="FF000000"/>
      </top>
      <bottom style="thin">
        <color indexed="8"/>
      </bottom>
      <diagonal/>
    </border>
    <border>
      <left/>
      <right style="thin">
        <color indexed="8"/>
      </right>
      <top style="thin">
        <color rgb="FF000000"/>
      </top>
      <bottom style="thin">
        <color indexed="8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indexed="64"/>
      </top>
      <bottom style="thin">
        <color rgb="FF000000"/>
      </bottom>
      <diagonal/>
    </border>
    <border>
      <left/>
      <right style="thin">
        <color rgb="FF000000"/>
      </right>
      <top style="hair">
        <color indexed="64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indexed="8"/>
      </left>
      <right/>
      <top style="hair">
        <color rgb="FF000000"/>
      </top>
      <bottom style="thin">
        <color indexed="8"/>
      </bottom>
      <diagonal/>
    </border>
    <border>
      <left/>
      <right style="thin">
        <color indexed="8"/>
      </right>
      <top style="hair">
        <color rgb="FF000000"/>
      </top>
      <bottom style="thin">
        <color indexed="8"/>
      </bottom>
      <diagonal/>
    </border>
    <border>
      <left style="thin">
        <color indexed="8"/>
      </left>
      <right/>
      <top style="hair">
        <color rgb="FF000000"/>
      </top>
      <bottom style="hair">
        <color rgb="FF000000"/>
      </bottom>
      <diagonal/>
    </border>
    <border>
      <left/>
      <right style="thin">
        <color indexed="8"/>
      </right>
      <top style="hair">
        <color rgb="FF000000"/>
      </top>
      <bottom style="hair">
        <color rgb="FF000000"/>
      </bottom>
      <diagonal/>
    </border>
  </borders>
  <cellStyleXfs count="930">
    <xf numFmtId="0" fontId="0" fillId="0" borderId="0">
      <alignment vertical="center"/>
    </xf>
    <xf numFmtId="0" fontId="60" fillId="5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1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5" borderId="0" applyNumberFormat="0" applyBorder="0" applyAlignment="0" applyProtection="0">
      <alignment vertical="center"/>
    </xf>
    <xf numFmtId="0" fontId="61" fillId="26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29" borderId="0" applyNumberFormat="0" applyBorder="0" applyAlignment="0" applyProtection="0">
      <alignment vertical="center"/>
    </xf>
    <xf numFmtId="0" fontId="61" fillId="30" borderId="0" applyNumberFormat="0" applyBorder="0" applyAlignment="0" applyProtection="0">
      <alignment vertical="center"/>
    </xf>
    <xf numFmtId="0" fontId="61" fillId="29" borderId="0" applyNumberFormat="0" applyBorder="0" applyAlignment="0" applyProtection="0">
      <alignment vertical="center"/>
    </xf>
    <xf numFmtId="0" fontId="61" fillId="30" borderId="0" applyNumberFormat="0" applyBorder="0" applyAlignment="0" applyProtection="0">
      <alignment vertical="center"/>
    </xf>
    <xf numFmtId="0" fontId="61" fillId="29" borderId="0" applyNumberFormat="0" applyBorder="0" applyAlignment="0" applyProtection="0">
      <alignment vertical="center"/>
    </xf>
    <xf numFmtId="0" fontId="61" fillId="30" borderId="0" applyNumberFormat="0" applyBorder="0" applyAlignment="0" applyProtection="0">
      <alignment vertical="center"/>
    </xf>
    <xf numFmtId="0" fontId="61" fillId="29" borderId="0" applyNumberFormat="0" applyBorder="0" applyAlignment="0" applyProtection="0">
      <alignment vertical="center"/>
    </xf>
    <xf numFmtId="0" fontId="61" fillId="29" borderId="0" applyNumberFormat="0" applyBorder="0" applyAlignment="0" applyProtection="0">
      <alignment vertical="center"/>
    </xf>
    <xf numFmtId="0" fontId="61" fillId="30" borderId="0" applyNumberFormat="0" applyBorder="0" applyAlignment="0" applyProtection="0">
      <alignment vertical="center"/>
    </xf>
    <xf numFmtId="0" fontId="61" fillId="30" borderId="0" applyNumberFormat="0" applyBorder="0" applyAlignment="0" applyProtection="0">
      <alignment vertical="center"/>
    </xf>
    <xf numFmtId="0" fontId="61" fillId="29" borderId="0" applyNumberFormat="0" applyBorder="0" applyAlignment="0" applyProtection="0">
      <alignment vertical="center"/>
    </xf>
    <xf numFmtId="0" fontId="61" fillId="30" borderId="0" applyNumberFormat="0" applyBorder="0" applyAlignment="0" applyProtection="0">
      <alignment vertical="center"/>
    </xf>
    <xf numFmtId="0" fontId="61" fillId="29" borderId="0" applyNumberFormat="0" applyBorder="0" applyAlignment="0" applyProtection="0">
      <alignment vertical="center"/>
    </xf>
    <xf numFmtId="0" fontId="61" fillId="30" borderId="0" applyNumberFormat="0" applyBorder="0" applyAlignment="0" applyProtection="0">
      <alignment vertical="center"/>
    </xf>
    <xf numFmtId="0" fontId="61" fillId="29" borderId="0" applyNumberFormat="0" applyBorder="0" applyAlignment="0" applyProtection="0">
      <alignment vertical="center"/>
    </xf>
    <xf numFmtId="0" fontId="61" fillId="30" borderId="0" applyNumberFormat="0" applyBorder="0" applyAlignment="0" applyProtection="0">
      <alignment vertical="center"/>
    </xf>
    <xf numFmtId="0" fontId="61" fillId="29" borderId="0" applyNumberFormat="0" applyBorder="0" applyAlignment="0" applyProtection="0">
      <alignment vertical="center"/>
    </xf>
    <xf numFmtId="0" fontId="61" fillId="30" borderId="0" applyNumberFormat="0" applyBorder="0" applyAlignment="0" applyProtection="0">
      <alignment vertical="center"/>
    </xf>
    <xf numFmtId="0" fontId="61" fillId="29" borderId="0" applyNumberFormat="0" applyBorder="0" applyAlignment="0" applyProtection="0">
      <alignment vertical="center"/>
    </xf>
    <xf numFmtId="0" fontId="61" fillId="30" borderId="0" applyNumberFormat="0" applyBorder="0" applyAlignment="0" applyProtection="0">
      <alignment vertical="center"/>
    </xf>
    <xf numFmtId="0" fontId="61" fillId="29" borderId="0" applyNumberFormat="0" applyBorder="0" applyAlignment="0" applyProtection="0">
      <alignment vertical="center"/>
    </xf>
    <xf numFmtId="0" fontId="61" fillId="30" borderId="0" applyNumberFormat="0" applyBorder="0" applyAlignment="0" applyProtection="0">
      <alignment vertical="center"/>
    </xf>
    <xf numFmtId="0" fontId="61" fillId="29" borderId="0" applyNumberFormat="0" applyBorder="0" applyAlignment="0" applyProtection="0">
      <alignment vertical="center"/>
    </xf>
    <xf numFmtId="0" fontId="61" fillId="30" borderId="0" applyNumberFormat="0" applyBorder="0" applyAlignment="0" applyProtection="0">
      <alignment vertical="center"/>
    </xf>
    <xf numFmtId="0" fontId="61" fillId="29" borderId="0" applyNumberFormat="0" applyBorder="0" applyAlignment="0" applyProtection="0">
      <alignment vertical="center"/>
    </xf>
    <xf numFmtId="0" fontId="61" fillId="30" borderId="0" applyNumberFormat="0" applyBorder="0" applyAlignment="0" applyProtection="0">
      <alignment vertical="center"/>
    </xf>
    <xf numFmtId="0" fontId="61" fillId="29" borderId="0" applyNumberFormat="0" applyBorder="0" applyAlignment="0" applyProtection="0">
      <alignment vertical="center"/>
    </xf>
    <xf numFmtId="0" fontId="61" fillId="30" borderId="0" applyNumberFormat="0" applyBorder="0" applyAlignment="0" applyProtection="0">
      <alignment vertical="center"/>
    </xf>
    <xf numFmtId="0" fontId="61" fillId="29" borderId="0" applyNumberFormat="0" applyBorder="0" applyAlignment="0" applyProtection="0">
      <alignment vertical="center"/>
    </xf>
    <xf numFmtId="0" fontId="61" fillId="30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34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34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34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34" borderId="0" applyNumberFormat="0" applyBorder="0" applyAlignment="0" applyProtection="0">
      <alignment vertical="center"/>
    </xf>
    <xf numFmtId="0" fontId="61" fillId="34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34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34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34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34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34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34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34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34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34" borderId="0" applyNumberFormat="0" applyBorder="0" applyAlignment="0" applyProtection="0">
      <alignment vertical="center"/>
    </xf>
    <xf numFmtId="0" fontId="61" fillId="33" borderId="0" applyNumberFormat="0" applyBorder="0" applyAlignment="0" applyProtection="0">
      <alignment vertical="center"/>
    </xf>
    <xf numFmtId="0" fontId="61" fillId="34" borderId="0" applyNumberFormat="0" applyBorder="0" applyAlignment="0" applyProtection="0">
      <alignment vertical="center"/>
    </xf>
    <xf numFmtId="0" fontId="23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6" fillId="0" borderId="0"/>
    <xf numFmtId="0" fontId="25" fillId="0" borderId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3" fontId="22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0" fontId="22" fillId="0" borderId="0" applyFont="0" applyFill="0" applyBorder="0" applyAlignment="0" applyProtection="0"/>
    <xf numFmtId="2" fontId="22" fillId="0" borderId="0" applyFont="0" applyFill="0" applyBorder="0" applyAlignment="0" applyProtection="0"/>
    <xf numFmtId="0" fontId="27" fillId="0" borderId="1" applyNumberFormat="0" applyAlignment="0" applyProtection="0">
      <alignment horizontal="left" vertical="center"/>
    </xf>
    <xf numFmtId="0" fontId="27" fillId="0" borderId="2">
      <alignment horizontal="left" vertical="center"/>
    </xf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2" fillId="0" borderId="0"/>
    <xf numFmtId="10" fontId="22" fillId="0" borderId="0" applyFont="0" applyFill="0" applyBorder="0" applyAlignment="0" applyProtection="0"/>
    <xf numFmtId="0" fontId="29" fillId="0" borderId="0"/>
    <xf numFmtId="0" fontId="39" fillId="0" borderId="0"/>
    <xf numFmtId="0" fontId="22" fillId="0" borderId="3" applyNumberFormat="0" applyFont="0" applyFill="0" applyAlignment="0" applyProtection="0"/>
    <xf numFmtId="0" fontId="61" fillId="35" borderId="0" applyNumberFormat="0" applyBorder="0" applyAlignment="0" applyProtection="0">
      <alignment vertical="center"/>
    </xf>
    <xf numFmtId="0" fontId="61" fillId="35" borderId="0" applyNumberFormat="0" applyBorder="0" applyAlignment="0" applyProtection="0">
      <alignment vertical="center"/>
    </xf>
    <xf numFmtId="0" fontId="61" fillId="35" borderId="0" applyNumberFormat="0" applyBorder="0" applyAlignment="0" applyProtection="0">
      <alignment vertical="center"/>
    </xf>
    <xf numFmtId="0" fontId="61" fillId="35" borderId="0" applyNumberFormat="0" applyBorder="0" applyAlignment="0" applyProtection="0">
      <alignment vertical="center"/>
    </xf>
    <xf numFmtId="0" fontId="61" fillId="35" borderId="0" applyNumberFormat="0" applyBorder="0" applyAlignment="0" applyProtection="0">
      <alignment vertical="center"/>
    </xf>
    <xf numFmtId="0" fontId="61" fillId="35" borderId="0" applyNumberFormat="0" applyBorder="0" applyAlignment="0" applyProtection="0">
      <alignment vertical="center"/>
    </xf>
    <xf numFmtId="0" fontId="61" fillId="35" borderId="0" applyNumberFormat="0" applyBorder="0" applyAlignment="0" applyProtection="0">
      <alignment vertical="center"/>
    </xf>
    <xf numFmtId="0" fontId="61" fillId="35" borderId="0" applyNumberFormat="0" applyBorder="0" applyAlignment="0" applyProtection="0">
      <alignment vertical="center"/>
    </xf>
    <xf numFmtId="0" fontId="61" fillId="35" borderId="0" applyNumberFormat="0" applyBorder="0" applyAlignment="0" applyProtection="0">
      <alignment vertical="center"/>
    </xf>
    <xf numFmtId="0" fontId="61" fillId="35" borderId="0" applyNumberFormat="0" applyBorder="0" applyAlignment="0" applyProtection="0">
      <alignment vertical="center"/>
    </xf>
    <xf numFmtId="0" fontId="61" fillId="35" borderId="0" applyNumberFormat="0" applyBorder="0" applyAlignment="0" applyProtection="0">
      <alignment vertical="center"/>
    </xf>
    <xf numFmtId="0" fontId="61" fillId="35" borderId="0" applyNumberFormat="0" applyBorder="0" applyAlignment="0" applyProtection="0">
      <alignment vertical="center"/>
    </xf>
    <xf numFmtId="0" fontId="61" fillId="35" borderId="0" applyNumberFormat="0" applyBorder="0" applyAlignment="0" applyProtection="0">
      <alignment vertical="center"/>
    </xf>
    <xf numFmtId="0" fontId="61" fillId="35" borderId="0" applyNumberFormat="0" applyBorder="0" applyAlignment="0" applyProtection="0">
      <alignment vertical="center"/>
    </xf>
    <xf numFmtId="0" fontId="61" fillId="35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61" fillId="37" borderId="0" applyNumberFormat="0" applyBorder="0" applyAlignment="0" applyProtection="0">
      <alignment vertical="center"/>
    </xf>
    <xf numFmtId="0" fontId="61" fillId="37" borderId="0" applyNumberFormat="0" applyBorder="0" applyAlignment="0" applyProtection="0">
      <alignment vertical="center"/>
    </xf>
    <xf numFmtId="0" fontId="61" fillId="37" borderId="0" applyNumberFormat="0" applyBorder="0" applyAlignment="0" applyProtection="0">
      <alignment vertical="center"/>
    </xf>
    <xf numFmtId="0" fontId="61" fillId="37" borderId="0" applyNumberFormat="0" applyBorder="0" applyAlignment="0" applyProtection="0">
      <alignment vertical="center"/>
    </xf>
    <xf numFmtId="0" fontId="61" fillId="37" borderId="0" applyNumberFormat="0" applyBorder="0" applyAlignment="0" applyProtection="0">
      <alignment vertical="center"/>
    </xf>
    <xf numFmtId="0" fontId="61" fillId="37" borderId="0" applyNumberFormat="0" applyBorder="0" applyAlignment="0" applyProtection="0">
      <alignment vertical="center"/>
    </xf>
    <xf numFmtId="0" fontId="61" fillId="37" borderId="0" applyNumberFormat="0" applyBorder="0" applyAlignment="0" applyProtection="0">
      <alignment vertical="center"/>
    </xf>
    <xf numFmtId="0" fontId="61" fillId="37" borderId="0" applyNumberFormat="0" applyBorder="0" applyAlignment="0" applyProtection="0">
      <alignment vertical="center"/>
    </xf>
    <xf numFmtId="0" fontId="61" fillId="37" borderId="0" applyNumberFormat="0" applyBorder="0" applyAlignment="0" applyProtection="0">
      <alignment vertical="center"/>
    </xf>
    <xf numFmtId="0" fontId="61" fillId="37" borderId="0" applyNumberFormat="0" applyBorder="0" applyAlignment="0" applyProtection="0">
      <alignment vertical="center"/>
    </xf>
    <xf numFmtId="0" fontId="61" fillId="37" borderId="0" applyNumberFormat="0" applyBorder="0" applyAlignment="0" applyProtection="0">
      <alignment vertical="center"/>
    </xf>
    <xf numFmtId="0" fontId="61" fillId="37" borderId="0" applyNumberFormat="0" applyBorder="0" applyAlignment="0" applyProtection="0">
      <alignment vertical="center"/>
    </xf>
    <xf numFmtId="0" fontId="61" fillId="37" borderId="0" applyNumberFormat="0" applyBorder="0" applyAlignment="0" applyProtection="0">
      <alignment vertical="center"/>
    </xf>
    <xf numFmtId="0" fontId="61" fillId="37" borderId="0" applyNumberFormat="0" applyBorder="0" applyAlignment="0" applyProtection="0">
      <alignment vertical="center"/>
    </xf>
    <xf numFmtId="0" fontId="61" fillId="37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1" fillId="39" borderId="0" applyNumberFormat="0" applyBorder="0" applyAlignment="0" applyProtection="0">
      <alignment vertical="center"/>
    </xf>
    <xf numFmtId="0" fontId="61" fillId="39" borderId="0" applyNumberFormat="0" applyBorder="0" applyAlignment="0" applyProtection="0">
      <alignment vertical="center"/>
    </xf>
    <xf numFmtId="0" fontId="61" fillId="39" borderId="0" applyNumberFormat="0" applyBorder="0" applyAlignment="0" applyProtection="0">
      <alignment vertical="center"/>
    </xf>
    <xf numFmtId="0" fontId="61" fillId="39" borderId="0" applyNumberFormat="0" applyBorder="0" applyAlignment="0" applyProtection="0">
      <alignment vertical="center"/>
    </xf>
    <xf numFmtId="0" fontId="61" fillId="39" borderId="0" applyNumberFormat="0" applyBorder="0" applyAlignment="0" applyProtection="0">
      <alignment vertical="center"/>
    </xf>
    <xf numFmtId="0" fontId="61" fillId="39" borderId="0" applyNumberFormat="0" applyBorder="0" applyAlignment="0" applyProtection="0">
      <alignment vertical="center"/>
    </xf>
    <xf numFmtId="0" fontId="61" fillId="39" borderId="0" applyNumberFormat="0" applyBorder="0" applyAlignment="0" applyProtection="0">
      <alignment vertical="center"/>
    </xf>
    <xf numFmtId="0" fontId="61" fillId="39" borderId="0" applyNumberFormat="0" applyBorder="0" applyAlignment="0" applyProtection="0">
      <alignment vertical="center"/>
    </xf>
    <xf numFmtId="0" fontId="61" fillId="39" borderId="0" applyNumberFormat="0" applyBorder="0" applyAlignment="0" applyProtection="0">
      <alignment vertical="center"/>
    </xf>
    <xf numFmtId="0" fontId="61" fillId="39" borderId="0" applyNumberFormat="0" applyBorder="0" applyAlignment="0" applyProtection="0">
      <alignment vertical="center"/>
    </xf>
    <xf numFmtId="0" fontId="61" fillId="39" borderId="0" applyNumberFormat="0" applyBorder="0" applyAlignment="0" applyProtection="0">
      <alignment vertical="center"/>
    </xf>
    <xf numFmtId="0" fontId="61" fillId="39" borderId="0" applyNumberFormat="0" applyBorder="0" applyAlignment="0" applyProtection="0">
      <alignment vertical="center"/>
    </xf>
    <xf numFmtId="0" fontId="61" fillId="39" borderId="0" applyNumberFormat="0" applyBorder="0" applyAlignment="0" applyProtection="0">
      <alignment vertical="center"/>
    </xf>
    <xf numFmtId="0" fontId="61" fillId="39" borderId="0" applyNumberFormat="0" applyBorder="0" applyAlignment="0" applyProtection="0">
      <alignment vertical="center"/>
    </xf>
    <xf numFmtId="0" fontId="61" fillId="39" borderId="0" applyNumberFormat="0" applyBorder="0" applyAlignment="0" applyProtection="0">
      <alignment vertical="center"/>
    </xf>
    <xf numFmtId="0" fontId="61" fillId="40" borderId="0" applyNumberFormat="0" applyBorder="0" applyAlignment="0" applyProtection="0">
      <alignment vertical="center"/>
    </xf>
    <xf numFmtId="0" fontId="61" fillId="40" borderId="0" applyNumberFormat="0" applyBorder="0" applyAlignment="0" applyProtection="0">
      <alignment vertical="center"/>
    </xf>
    <xf numFmtId="0" fontId="61" fillId="40" borderId="0" applyNumberFormat="0" applyBorder="0" applyAlignment="0" applyProtection="0">
      <alignment vertical="center"/>
    </xf>
    <xf numFmtId="0" fontId="61" fillId="40" borderId="0" applyNumberFormat="0" applyBorder="0" applyAlignment="0" applyProtection="0">
      <alignment vertical="center"/>
    </xf>
    <xf numFmtId="0" fontId="61" fillId="40" borderId="0" applyNumberFormat="0" applyBorder="0" applyAlignment="0" applyProtection="0">
      <alignment vertical="center"/>
    </xf>
    <xf numFmtId="0" fontId="61" fillId="40" borderId="0" applyNumberFormat="0" applyBorder="0" applyAlignment="0" applyProtection="0">
      <alignment vertical="center"/>
    </xf>
    <xf numFmtId="0" fontId="61" fillId="40" borderId="0" applyNumberFormat="0" applyBorder="0" applyAlignment="0" applyProtection="0">
      <alignment vertical="center"/>
    </xf>
    <xf numFmtId="0" fontId="61" fillId="40" borderId="0" applyNumberFormat="0" applyBorder="0" applyAlignment="0" applyProtection="0">
      <alignment vertical="center"/>
    </xf>
    <xf numFmtId="0" fontId="61" fillId="40" borderId="0" applyNumberFormat="0" applyBorder="0" applyAlignment="0" applyProtection="0">
      <alignment vertical="center"/>
    </xf>
    <xf numFmtId="0" fontId="61" fillId="40" borderId="0" applyNumberFormat="0" applyBorder="0" applyAlignment="0" applyProtection="0">
      <alignment vertical="center"/>
    </xf>
    <xf numFmtId="0" fontId="61" fillId="40" borderId="0" applyNumberFormat="0" applyBorder="0" applyAlignment="0" applyProtection="0">
      <alignment vertical="center"/>
    </xf>
    <xf numFmtId="0" fontId="61" fillId="40" borderId="0" applyNumberFormat="0" applyBorder="0" applyAlignment="0" applyProtection="0">
      <alignment vertical="center"/>
    </xf>
    <xf numFmtId="0" fontId="61" fillId="40" borderId="0" applyNumberFormat="0" applyBorder="0" applyAlignment="0" applyProtection="0">
      <alignment vertical="center"/>
    </xf>
    <xf numFmtId="0" fontId="61" fillId="40" borderId="0" applyNumberFormat="0" applyBorder="0" applyAlignment="0" applyProtection="0">
      <alignment vertical="center"/>
    </xf>
    <xf numFmtId="0" fontId="61" fillId="40" borderId="0" applyNumberFormat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3" fillId="41" borderId="96" applyNumberFormat="0" applyAlignment="0" applyProtection="0">
      <alignment vertical="center"/>
    </xf>
    <xf numFmtId="0" fontId="63" fillId="41" borderId="96" applyNumberFormat="0" applyAlignment="0" applyProtection="0">
      <alignment vertical="center"/>
    </xf>
    <xf numFmtId="0" fontId="63" fillId="41" borderId="96" applyNumberFormat="0" applyAlignment="0" applyProtection="0">
      <alignment vertical="center"/>
    </xf>
    <xf numFmtId="0" fontId="63" fillId="41" borderId="96" applyNumberFormat="0" applyAlignment="0" applyProtection="0">
      <alignment vertical="center"/>
    </xf>
    <xf numFmtId="0" fontId="63" fillId="41" borderId="96" applyNumberFormat="0" applyAlignment="0" applyProtection="0">
      <alignment vertical="center"/>
    </xf>
    <xf numFmtId="0" fontId="63" fillId="41" borderId="96" applyNumberFormat="0" applyAlignment="0" applyProtection="0">
      <alignment vertical="center"/>
    </xf>
    <xf numFmtId="0" fontId="63" fillId="41" borderId="96" applyNumberFormat="0" applyAlignment="0" applyProtection="0">
      <alignment vertical="center"/>
    </xf>
    <xf numFmtId="0" fontId="63" fillId="41" borderId="96" applyNumberFormat="0" applyAlignment="0" applyProtection="0">
      <alignment vertical="center"/>
    </xf>
    <xf numFmtId="0" fontId="63" fillId="41" borderId="96" applyNumberFormat="0" applyAlignment="0" applyProtection="0">
      <alignment vertical="center"/>
    </xf>
    <xf numFmtId="0" fontId="63" fillId="41" borderId="96" applyNumberFormat="0" applyAlignment="0" applyProtection="0">
      <alignment vertical="center"/>
    </xf>
    <xf numFmtId="0" fontId="63" fillId="41" borderId="96" applyNumberFormat="0" applyAlignment="0" applyProtection="0">
      <alignment vertical="center"/>
    </xf>
    <xf numFmtId="0" fontId="63" fillId="41" borderId="96" applyNumberFormat="0" applyAlignment="0" applyProtection="0">
      <alignment vertical="center"/>
    </xf>
    <xf numFmtId="0" fontId="63" fillId="41" borderId="96" applyNumberFormat="0" applyAlignment="0" applyProtection="0">
      <alignment vertical="center"/>
    </xf>
    <xf numFmtId="0" fontId="63" fillId="41" borderId="96" applyNumberFormat="0" applyAlignment="0" applyProtection="0">
      <alignment vertical="center"/>
    </xf>
    <xf numFmtId="0" fontId="63" fillId="41" borderId="96" applyNumberFormat="0" applyAlignment="0" applyProtection="0">
      <alignment vertical="center"/>
    </xf>
    <xf numFmtId="0" fontId="64" fillId="42" borderId="0" applyNumberFormat="0" applyBorder="0" applyAlignment="0" applyProtection="0">
      <alignment vertical="center"/>
    </xf>
    <xf numFmtId="0" fontId="64" fillId="42" borderId="0" applyNumberFormat="0" applyBorder="0" applyAlignment="0" applyProtection="0">
      <alignment vertical="center"/>
    </xf>
    <xf numFmtId="0" fontId="64" fillId="42" borderId="0" applyNumberFormat="0" applyBorder="0" applyAlignment="0" applyProtection="0">
      <alignment vertical="center"/>
    </xf>
    <xf numFmtId="0" fontId="64" fillId="42" borderId="0" applyNumberFormat="0" applyBorder="0" applyAlignment="0" applyProtection="0">
      <alignment vertical="center"/>
    </xf>
    <xf numFmtId="0" fontId="64" fillId="42" borderId="0" applyNumberFormat="0" applyBorder="0" applyAlignment="0" applyProtection="0">
      <alignment vertical="center"/>
    </xf>
    <xf numFmtId="0" fontId="64" fillId="42" borderId="0" applyNumberFormat="0" applyBorder="0" applyAlignment="0" applyProtection="0">
      <alignment vertical="center"/>
    </xf>
    <xf numFmtId="0" fontId="64" fillId="42" borderId="0" applyNumberFormat="0" applyBorder="0" applyAlignment="0" applyProtection="0">
      <alignment vertical="center"/>
    </xf>
    <xf numFmtId="0" fontId="64" fillId="42" borderId="0" applyNumberFormat="0" applyBorder="0" applyAlignment="0" applyProtection="0">
      <alignment vertical="center"/>
    </xf>
    <xf numFmtId="0" fontId="64" fillId="42" borderId="0" applyNumberFormat="0" applyBorder="0" applyAlignment="0" applyProtection="0">
      <alignment vertical="center"/>
    </xf>
    <xf numFmtId="0" fontId="64" fillId="42" borderId="0" applyNumberFormat="0" applyBorder="0" applyAlignment="0" applyProtection="0">
      <alignment vertical="center"/>
    </xf>
    <xf numFmtId="0" fontId="64" fillId="42" borderId="0" applyNumberFormat="0" applyBorder="0" applyAlignment="0" applyProtection="0">
      <alignment vertical="center"/>
    </xf>
    <xf numFmtId="0" fontId="64" fillId="42" borderId="0" applyNumberFormat="0" applyBorder="0" applyAlignment="0" applyProtection="0">
      <alignment vertical="center"/>
    </xf>
    <xf numFmtId="0" fontId="64" fillId="42" borderId="0" applyNumberFormat="0" applyBorder="0" applyAlignment="0" applyProtection="0">
      <alignment vertical="center"/>
    </xf>
    <xf numFmtId="0" fontId="64" fillId="42" borderId="0" applyNumberFormat="0" applyBorder="0" applyAlignment="0" applyProtection="0">
      <alignment vertical="center"/>
    </xf>
    <xf numFmtId="0" fontId="64" fillId="42" borderId="0" applyNumberFormat="0" applyBorder="0" applyAlignment="0" applyProtection="0">
      <alignment vertical="center"/>
    </xf>
    <xf numFmtId="40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0" fontId="16" fillId="0" borderId="0">
      <alignment horizontal="center"/>
    </xf>
    <xf numFmtId="0" fontId="40" fillId="43" borderId="97" applyNumberFormat="0" applyFont="0" applyAlignment="0" applyProtection="0">
      <alignment vertical="center"/>
    </xf>
    <xf numFmtId="0" fontId="40" fillId="43" borderId="97" applyNumberFormat="0" applyFont="0" applyAlignment="0" applyProtection="0">
      <alignment vertical="center"/>
    </xf>
    <xf numFmtId="0" fontId="40" fillId="43" borderId="97" applyNumberFormat="0" applyFont="0" applyAlignment="0" applyProtection="0">
      <alignment vertical="center"/>
    </xf>
    <xf numFmtId="0" fontId="40" fillId="43" borderId="97" applyNumberFormat="0" applyFont="0" applyAlignment="0" applyProtection="0">
      <alignment vertical="center"/>
    </xf>
    <xf numFmtId="0" fontId="40" fillId="43" borderId="97" applyNumberFormat="0" applyFont="0" applyAlignment="0" applyProtection="0">
      <alignment vertical="center"/>
    </xf>
    <xf numFmtId="0" fontId="40" fillId="43" borderId="97" applyNumberFormat="0" applyFont="0" applyAlignment="0" applyProtection="0">
      <alignment vertical="center"/>
    </xf>
    <xf numFmtId="0" fontId="40" fillId="43" borderId="97" applyNumberFormat="0" applyFont="0" applyAlignment="0" applyProtection="0">
      <alignment vertical="center"/>
    </xf>
    <xf numFmtId="0" fontId="40" fillId="43" borderId="97" applyNumberFormat="0" applyFont="0" applyAlignment="0" applyProtection="0">
      <alignment vertical="center"/>
    </xf>
    <xf numFmtId="0" fontId="40" fillId="43" borderId="97" applyNumberFormat="0" applyFont="0" applyAlignment="0" applyProtection="0">
      <alignment vertical="center"/>
    </xf>
    <xf numFmtId="0" fontId="40" fillId="43" borderId="97" applyNumberFormat="0" applyFont="0" applyAlignment="0" applyProtection="0">
      <alignment vertical="center"/>
    </xf>
    <xf numFmtId="0" fontId="40" fillId="43" borderId="97" applyNumberFormat="0" applyFont="0" applyAlignment="0" applyProtection="0">
      <alignment vertical="center"/>
    </xf>
    <xf numFmtId="0" fontId="40" fillId="43" borderId="97" applyNumberFormat="0" applyFont="0" applyAlignment="0" applyProtection="0">
      <alignment vertical="center"/>
    </xf>
    <xf numFmtId="0" fontId="40" fillId="43" borderId="97" applyNumberFormat="0" applyFont="0" applyAlignment="0" applyProtection="0">
      <alignment vertical="center"/>
    </xf>
    <xf numFmtId="0" fontId="40" fillId="43" borderId="97" applyNumberFormat="0" applyFont="0" applyAlignment="0" applyProtection="0">
      <alignment vertical="center"/>
    </xf>
    <xf numFmtId="0" fontId="40" fillId="43" borderId="97" applyNumberFormat="0" applyFont="0" applyAlignment="0" applyProtection="0">
      <alignment vertical="center"/>
    </xf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65" fillId="44" borderId="0" applyNumberFormat="0" applyBorder="0" applyAlignment="0" applyProtection="0">
      <alignment vertical="center"/>
    </xf>
    <xf numFmtId="0" fontId="65" fillId="44" borderId="0" applyNumberFormat="0" applyBorder="0" applyAlignment="0" applyProtection="0">
      <alignment vertical="center"/>
    </xf>
    <xf numFmtId="0" fontId="65" fillId="44" borderId="0" applyNumberFormat="0" applyBorder="0" applyAlignment="0" applyProtection="0">
      <alignment vertical="center"/>
    </xf>
    <xf numFmtId="0" fontId="65" fillId="44" borderId="0" applyNumberFormat="0" applyBorder="0" applyAlignment="0" applyProtection="0">
      <alignment vertical="center"/>
    </xf>
    <xf numFmtId="0" fontId="65" fillId="44" borderId="0" applyNumberFormat="0" applyBorder="0" applyAlignment="0" applyProtection="0">
      <alignment vertical="center"/>
    </xf>
    <xf numFmtId="0" fontId="65" fillId="44" borderId="0" applyNumberFormat="0" applyBorder="0" applyAlignment="0" applyProtection="0">
      <alignment vertical="center"/>
    </xf>
    <xf numFmtId="0" fontId="65" fillId="44" borderId="0" applyNumberFormat="0" applyBorder="0" applyAlignment="0" applyProtection="0">
      <alignment vertical="center"/>
    </xf>
    <xf numFmtId="0" fontId="65" fillId="44" borderId="0" applyNumberFormat="0" applyBorder="0" applyAlignment="0" applyProtection="0">
      <alignment vertical="center"/>
    </xf>
    <xf numFmtId="0" fontId="65" fillId="44" borderId="0" applyNumberFormat="0" applyBorder="0" applyAlignment="0" applyProtection="0">
      <alignment vertical="center"/>
    </xf>
    <xf numFmtId="0" fontId="65" fillId="44" borderId="0" applyNumberFormat="0" applyBorder="0" applyAlignment="0" applyProtection="0">
      <alignment vertical="center"/>
    </xf>
    <xf numFmtId="0" fontId="65" fillId="44" borderId="0" applyNumberFormat="0" applyBorder="0" applyAlignment="0" applyProtection="0">
      <alignment vertical="center"/>
    </xf>
    <xf numFmtId="0" fontId="65" fillId="44" borderId="0" applyNumberFormat="0" applyBorder="0" applyAlignment="0" applyProtection="0">
      <alignment vertical="center"/>
    </xf>
    <xf numFmtId="0" fontId="65" fillId="44" borderId="0" applyNumberFormat="0" applyBorder="0" applyAlignment="0" applyProtection="0">
      <alignment vertical="center"/>
    </xf>
    <xf numFmtId="0" fontId="65" fillId="44" borderId="0" applyNumberFormat="0" applyBorder="0" applyAlignment="0" applyProtection="0">
      <alignment vertical="center"/>
    </xf>
    <xf numFmtId="0" fontId="65" fillId="44" borderId="0" applyNumberFormat="0" applyBorder="0" applyAlignment="0" applyProtection="0">
      <alignment vertical="center"/>
    </xf>
    <xf numFmtId="0" fontId="17" fillId="0" borderId="0"/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7" fillId="45" borderId="98" applyNumberFormat="0" applyAlignment="0" applyProtection="0">
      <alignment vertical="center"/>
    </xf>
    <xf numFmtId="0" fontId="67" fillId="45" borderId="98" applyNumberFormat="0" applyAlignment="0" applyProtection="0">
      <alignment vertical="center"/>
    </xf>
    <xf numFmtId="0" fontId="67" fillId="45" borderId="98" applyNumberFormat="0" applyAlignment="0" applyProtection="0">
      <alignment vertical="center"/>
    </xf>
    <xf numFmtId="0" fontId="67" fillId="45" borderId="98" applyNumberFormat="0" applyAlignment="0" applyProtection="0">
      <alignment vertical="center"/>
    </xf>
    <xf numFmtId="0" fontId="67" fillId="45" borderId="98" applyNumberFormat="0" applyAlignment="0" applyProtection="0">
      <alignment vertical="center"/>
    </xf>
    <xf numFmtId="0" fontId="67" fillId="45" borderId="98" applyNumberFormat="0" applyAlignment="0" applyProtection="0">
      <alignment vertical="center"/>
    </xf>
    <xf numFmtId="0" fontId="67" fillId="45" borderId="98" applyNumberFormat="0" applyAlignment="0" applyProtection="0">
      <alignment vertical="center"/>
    </xf>
    <xf numFmtId="0" fontId="67" fillId="45" borderId="98" applyNumberFormat="0" applyAlignment="0" applyProtection="0">
      <alignment vertical="center"/>
    </xf>
    <xf numFmtId="0" fontId="67" fillId="45" borderId="98" applyNumberFormat="0" applyAlignment="0" applyProtection="0">
      <alignment vertical="center"/>
    </xf>
    <xf numFmtId="0" fontId="67" fillId="45" borderId="98" applyNumberFormat="0" applyAlignment="0" applyProtection="0">
      <alignment vertical="center"/>
    </xf>
    <xf numFmtId="0" fontId="67" fillId="45" borderId="98" applyNumberFormat="0" applyAlignment="0" applyProtection="0">
      <alignment vertical="center"/>
    </xf>
    <xf numFmtId="0" fontId="67" fillId="45" borderId="98" applyNumberFormat="0" applyAlignment="0" applyProtection="0">
      <alignment vertical="center"/>
    </xf>
    <xf numFmtId="0" fontId="67" fillId="45" borderId="98" applyNumberFormat="0" applyAlignment="0" applyProtection="0">
      <alignment vertical="center"/>
    </xf>
    <xf numFmtId="0" fontId="67" fillId="45" borderId="98" applyNumberFormat="0" applyAlignment="0" applyProtection="0">
      <alignment vertical="center"/>
    </xf>
    <xf numFmtId="0" fontId="67" fillId="45" borderId="98" applyNumberFormat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178" fontId="40" fillId="0" borderId="0" applyFont="0" applyFill="0" applyBorder="0" applyAlignment="0" applyProtection="0">
      <alignment vertical="center"/>
    </xf>
    <xf numFmtId="0" fontId="18" fillId="0" borderId="0" applyFont="0" applyFill="0" applyBorder="0" applyAlignment="0" applyProtection="0"/>
    <xf numFmtId="0" fontId="68" fillId="0" borderId="99" applyNumberFormat="0" applyFill="0" applyAlignment="0" applyProtection="0">
      <alignment vertical="center"/>
    </xf>
    <xf numFmtId="0" fontId="68" fillId="0" borderId="99" applyNumberFormat="0" applyFill="0" applyAlignment="0" applyProtection="0">
      <alignment vertical="center"/>
    </xf>
    <xf numFmtId="0" fontId="68" fillId="0" borderId="99" applyNumberFormat="0" applyFill="0" applyAlignment="0" applyProtection="0">
      <alignment vertical="center"/>
    </xf>
    <xf numFmtId="0" fontId="68" fillId="0" borderId="99" applyNumberFormat="0" applyFill="0" applyAlignment="0" applyProtection="0">
      <alignment vertical="center"/>
    </xf>
    <xf numFmtId="0" fontId="68" fillId="0" borderId="99" applyNumberFormat="0" applyFill="0" applyAlignment="0" applyProtection="0">
      <alignment vertical="center"/>
    </xf>
    <xf numFmtId="0" fontId="68" fillId="0" borderId="99" applyNumberFormat="0" applyFill="0" applyAlignment="0" applyProtection="0">
      <alignment vertical="center"/>
    </xf>
    <xf numFmtId="0" fontId="68" fillId="0" borderId="99" applyNumberFormat="0" applyFill="0" applyAlignment="0" applyProtection="0">
      <alignment vertical="center"/>
    </xf>
    <xf numFmtId="0" fontId="68" fillId="0" borderId="99" applyNumberFormat="0" applyFill="0" applyAlignment="0" applyProtection="0">
      <alignment vertical="center"/>
    </xf>
    <xf numFmtId="0" fontId="68" fillId="0" borderId="99" applyNumberFormat="0" applyFill="0" applyAlignment="0" applyProtection="0">
      <alignment vertical="center"/>
    </xf>
    <xf numFmtId="0" fontId="68" fillId="0" borderId="99" applyNumberFormat="0" applyFill="0" applyAlignment="0" applyProtection="0">
      <alignment vertical="center"/>
    </xf>
    <xf numFmtId="0" fontId="68" fillId="0" borderId="99" applyNumberFormat="0" applyFill="0" applyAlignment="0" applyProtection="0">
      <alignment vertical="center"/>
    </xf>
    <xf numFmtId="0" fontId="68" fillId="0" borderId="99" applyNumberFormat="0" applyFill="0" applyAlignment="0" applyProtection="0">
      <alignment vertical="center"/>
    </xf>
    <xf numFmtId="0" fontId="68" fillId="0" borderId="99" applyNumberFormat="0" applyFill="0" applyAlignment="0" applyProtection="0">
      <alignment vertical="center"/>
    </xf>
    <xf numFmtId="0" fontId="68" fillId="0" borderId="99" applyNumberFormat="0" applyFill="0" applyAlignment="0" applyProtection="0">
      <alignment vertical="center"/>
    </xf>
    <xf numFmtId="0" fontId="68" fillId="0" borderId="99" applyNumberFormat="0" applyFill="0" applyAlignment="0" applyProtection="0">
      <alignment vertical="center"/>
    </xf>
    <xf numFmtId="0" fontId="69" fillId="0" borderId="100" applyNumberFormat="0" applyFill="0" applyAlignment="0" applyProtection="0">
      <alignment vertical="center"/>
    </xf>
    <xf numFmtId="0" fontId="69" fillId="0" borderId="100" applyNumberFormat="0" applyFill="0" applyAlignment="0" applyProtection="0">
      <alignment vertical="center"/>
    </xf>
    <xf numFmtId="0" fontId="69" fillId="0" borderId="100" applyNumberFormat="0" applyFill="0" applyAlignment="0" applyProtection="0">
      <alignment vertical="center"/>
    </xf>
    <xf numFmtId="0" fontId="69" fillId="0" borderId="100" applyNumberFormat="0" applyFill="0" applyAlignment="0" applyProtection="0">
      <alignment vertical="center"/>
    </xf>
    <xf numFmtId="0" fontId="69" fillId="0" borderId="100" applyNumberFormat="0" applyFill="0" applyAlignment="0" applyProtection="0">
      <alignment vertical="center"/>
    </xf>
    <xf numFmtId="0" fontId="69" fillId="0" borderId="100" applyNumberFormat="0" applyFill="0" applyAlignment="0" applyProtection="0">
      <alignment vertical="center"/>
    </xf>
    <xf numFmtId="0" fontId="69" fillId="0" borderId="100" applyNumberFormat="0" applyFill="0" applyAlignment="0" applyProtection="0">
      <alignment vertical="center"/>
    </xf>
    <xf numFmtId="0" fontId="69" fillId="0" borderId="100" applyNumberFormat="0" applyFill="0" applyAlignment="0" applyProtection="0">
      <alignment vertical="center"/>
    </xf>
    <xf numFmtId="0" fontId="69" fillId="0" borderId="100" applyNumberFormat="0" applyFill="0" applyAlignment="0" applyProtection="0">
      <alignment vertical="center"/>
    </xf>
    <xf numFmtId="0" fontId="69" fillId="0" borderId="100" applyNumberFormat="0" applyFill="0" applyAlignment="0" applyProtection="0">
      <alignment vertical="center"/>
    </xf>
    <xf numFmtId="0" fontId="69" fillId="0" borderId="100" applyNumberFormat="0" applyFill="0" applyAlignment="0" applyProtection="0">
      <alignment vertical="center"/>
    </xf>
    <xf numFmtId="0" fontId="69" fillId="0" borderId="100" applyNumberFormat="0" applyFill="0" applyAlignment="0" applyProtection="0">
      <alignment vertical="center"/>
    </xf>
    <xf numFmtId="0" fontId="69" fillId="0" borderId="100" applyNumberFormat="0" applyFill="0" applyAlignment="0" applyProtection="0">
      <alignment vertical="center"/>
    </xf>
    <xf numFmtId="0" fontId="69" fillId="0" borderId="100" applyNumberFormat="0" applyFill="0" applyAlignment="0" applyProtection="0">
      <alignment vertical="center"/>
    </xf>
    <xf numFmtId="0" fontId="69" fillId="0" borderId="100" applyNumberFormat="0" applyFill="0" applyAlignment="0" applyProtection="0">
      <alignment vertical="center"/>
    </xf>
    <xf numFmtId="0" fontId="70" fillId="46" borderId="96" applyNumberFormat="0" applyAlignment="0" applyProtection="0">
      <alignment vertical="center"/>
    </xf>
    <xf numFmtId="0" fontId="70" fillId="46" borderId="96" applyNumberFormat="0" applyAlignment="0" applyProtection="0">
      <alignment vertical="center"/>
    </xf>
    <xf numFmtId="0" fontId="70" fillId="46" borderId="96" applyNumberFormat="0" applyAlignment="0" applyProtection="0">
      <alignment vertical="center"/>
    </xf>
    <xf numFmtId="0" fontId="70" fillId="46" borderId="96" applyNumberFormat="0" applyAlignment="0" applyProtection="0">
      <alignment vertical="center"/>
    </xf>
    <xf numFmtId="0" fontId="70" fillId="46" borderId="96" applyNumberFormat="0" applyAlignment="0" applyProtection="0">
      <alignment vertical="center"/>
    </xf>
    <xf numFmtId="0" fontId="70" fillId="46" borderId="96" applyNumberFormat="0" applyAlignment="0" applyProtection="0">
      <alignment vertical="center"/>
    </xf>
    <xf numFmtId="0" fontId="70" fillId="46" borderId="96" applyNumberFormat="0" applyAlignment="0" applyProtection="0">
      <alignment vertical="center"/>
    </xf>
    <xf numFmtId="0" fontId="70" fillId="46" borderId="96" applyNumberFormat="0" applyAlignment="0" applyProtection="0">
      <alignment vertical="center"/>
    </xf>
    <xf numFmtId="0" fontId="70" fillId="46" borderId="96" applyNumberFormat="0" applyAlignment="0" applyProtection="0">
      <alignment vertical="center"/>
    </xf>
    <xf numFmtId="0" fontId="70" fillId="46" borderId="96" applyNumberFormat="0" applyAlignment="0" applyProtection="0">
      <alignment vertical="center"/>
    </xf>
    <xf numFmtId="0" fontId="70" fillId="46" borderId="96" applyNumberFormat="0" applyAlignment="0" applyProtection="0">
      <alignment vertical="center"/>
    </xf>
    <xf numFmtId="0" fontId="70" fillId="46" borderId="96" applyNumberFormat="0" applyAlignment="0" applyProtection="0">
      <alignment vertical="center"/>
    </xf>
    <xf numFmtId="0" fontId="70" fillId="46" borderId="96" applyNumberFormat="0" applyAlignment="0" applyProtection="0">
      <alignment vertical="center"/>
    </xf>
    <xf numFmtId="0" fontId="70" fillId="46" borderId="96" applyNumberFormat="0" applyAlignment="0" applyProtection="0">
      <alignment vertical="center"/>
    </xf>
    <xf numFmtId="0" fontId="70" fillId="46" borderId="96" applyNumberFormat="0" applyAlignment="0" applyProtection="0">
      <alignment vertical="center"/>
    </xf>
    <xf numFmtId="0" fontId="72" fillId="0" borderId="101" applyNumberFormat="0" applyFill="0" applyAlignment="0" applyProtection="0">
      <alignment vertical="center"/>
    </xf>
    <xf numFmtId="0" fontId="72" fillId="0" borderId="101" applyNumberFormat="0" applyFill="0" applyAlignment="0" applyProtection="0">
      <alignment vertical="center"/>
    </xf>
    <xf numFmtId="0" fontId="72" fillId="0" borderId="101" applyNumberFormat="0" applyFill="0" applyAlignment="0" applyProtection="0">
      <alignment vertical="center"/>
    </xf>
    <xf numFmtId="0" fontId="72" fillId="0" borderId="101" applyNumberFormat="0" applyFill="0" applyAlignment="0" applyProtection="0">
      <alignment vertical="center"/>
    </xf>
    <xf numFmtId="0" fontId="72" fillId="0" borderId="101" applyNumberFormat="0" applyFill="0" applyAlignment="0" applyProtection="0">
      <alignment vertical="center"/>
    </xf>
    <xf numFmtId="0" fontId="72" fillId="0" borderId="101" applyNumberFormat="0" applyFill="0" applyAlignment="0" applyProtection="0">
      <alignment vertical="center"/>
    </xf>
    <xf numFmtId="0" fontId="72" fillId="0" borderId="101" applyNumberFormat="0" applyFill="0" applyAlignment="0" applyProtection="0">
      <alignment vertical="center"/>
    </xf>
    <xf numFmtId="0" fontId="72" fillId="0" borderId="101" applyNumberFormat="0" applyFill="0" applyAlignment="0" applyProtection="0">
      <alignment vertical="center"/>
    </xf>
    <xf numFmtId="0" fontId="72" fillId="0" borderId="101" applyNumberFormat="0" applyFill="0" applyAlignment="0" applyProtection="0">
      <alignment vertical="center"/>
    </xf>
    <xf numFmtId="0" fontId="72" fillId="0" borderId="101" applyNumberFormat="0" applyFill="0" applyAlignment="0" applyProtection="0">
      <alignment vertical="center"/>
    </xf>
    <xf numFmtId="0" fontId="72" fillId="0" borderId="101" applyNumberFormat="0" applyFill="0" applyAlignment="0" applyProtection="0">
      <alignment vertical="center"/>
    </xf>
    <xf numFmtId="0" fontId="72" fillId="0" borderId="101" applyNumberFormat="0" applyFill="0" applyAlignment="0" applyProtection="0">
      <alignment vertical="center"/>
    </xf>
    <xf numFmtId="0" fontId="72" fillId="0" borderId="101" applyNumberFormat="0" applyFill="0" applyAlignment="0" applyProtection="0">
      <alignment vertical="center"/>
    </xf>
    <xf numFmtId="0" fontId="72" fillId="0" borderId="101" applyNumberFormat="0" applyFill="0" applyAlignment="0" applyProtection="0">
      <alignment vertical="center"/>
    </xf>
    <xf numFmtId="0" fontId="72" fillId="0" borderId="101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3" fillId="0" borderId="102" applyNumberFormat="0" applyFill="0" applyAlignment="0" applyProtection="0">
      <alignment vertical="center"/>
    </xf>
    <xf numFmtId="0" fontId="73" fillId="0" borderId="102" applyNumberFormat="0" applyFill="0" applyAlignment="0" applyProtection="0">
      <alignment vertical="center"/>
    </xf>
    <xf numFmtId="0" fontId="73" fillId="0" borderId="102" applyNumberFormat="0" applyFill="0" applyAlignment="0" applyProtection="0">
      <alignment vertical="center"/>
    </xf>
    <xf numFmtId="0" fontId="73" fillId="0" borderId="102" applyNumberFormat="0" applyFill="0" applyAlignment="0" applyProtection="0">
      <alignment vertical="center"/>
    </xf>
    <xf numFmtId="0" fontId="73" fillId="0" borderId="102" applyNumberFormat="0" applyFill="0" applyAlignment="0" applyProtection="0">
      <alignment vertical="center"/>
    </xf>
    <xf numFmtId="0" fontId="73" fillId="0" borderId="102" applyNumberFormat="0" applyFill="0" applyAlignment="0" applyProtection="0">
      <alignment vertical="center"/>
    </xf>
    <xf numFmtId="0" fontId="73" fillId="0" borderId="102" applyNumberFormat="0" applyFill="0" applyAlignment="0" applyProtection="0">
      <alignment vertical="center"/>
    </xf>
    <xf numFmtId="0" fontId="73" fillId="0" borderId="102" applyNumberFormat="0" applyFill="0" applyAlignment="0" applyProtection="0">
      <alignment vertical="center"/>
    </xf>
    <xf numFmtId="0" fontId="73" fillId="0" borderId="102" applyNumberFormat="0" applyFill="0" applyAlignment="0" applyProtection="0">
      <alignment vertical="center"/>
    </xf>
    <xf numFmtId="0" fontId="73" fillId="0" borderId="102" applyNumberFormat="0" applyFill="0" applyAlignment="0" applyProtection="0">
      <alignment vertical="center"/>
    </xf>
    <xf numFmtId="0" fontId="73" fillId="0" borderId="102" applyNumberFormat="0" applyFill="0" applyAlignment="0" applyProtection="0">
      <alignment vertical="center"/>
    </xf>
    <xf numFmtId="0" fontId="73" fillId="0" borderId="102" applyNumberFormat="0" applyFill="0" applyAlignment="0" applyProtection="0">
      <alignment vertical="center"/>
    </xf>
    <xf numFmtId="0" fontId="73" fillId="0" borderId="102" applyNumberFormat="0" applyFill="0" applyAlignment="0" applyProtection="0">
      <alignment vertical="center"/>
    </xf>
    <xf numFmtId="0" fontId="73" fillId="0" borderId="102" applyNumberFormat="0" applyFill="0" applyAlignment="0" applyProtection="0">
      <alignment vertical="center"/>
    </xf>
    <xf numFmtId="0" fontId="73" fillId="0" borderId="102" applyNumberFormat="0" applyFill="0" applyAlignment="0" applyProtection="0">
      <alignment vertical="center"/>
    </xf>
    <xf numFmtId="0" fontId="74" fillId="0" borderId="103" applyNumberFormat="0" applyFill="0" applyAlignment="0" applyProtection="0">
      <alignment vertical="center"/>
    </xf>
    <xf numFmtId="0" fontId="74" fillId="0" borderId="104" applyNumberFormat="0" applyFill="0" applyAlignment="0" applyProtection="0">
      <alignment vertical="center"/>
    </xf>
    <xf numFmtId="0" fontId="74" fillId="0" borderId="103" applyNumberFormat="0" applyFill="0" applyAlignment="0" applyProtection="0">
      <alignment vertical="center"/>
    </xf>
    <xf numFmtId="0" fontId="74" fillId="0" borderId="104" applyNumberFormat="0" applyFill="0" applyAlignment="0" applyProtection="0">
      <alignment vertical="center"/>
    </xf>
    <xf numFmtId="0" fontId="74" fillId="0" borderId="103" applyNumberFormat="0" applyFill="0" applyAlignment="0" applyProtection="0">
      <alignment vertical="center"/>
    </xf>
    <xf numFmtId="0" fontId="74" fillId="0" borderId="104" applyNumberFormat="0" applyFill="0" applyAlignment="0" applyProtection="0">
      <alignment vertical="center"/>
    </xf>
    <xf numFmtId="0" fontId="74" fillId="0" borderId="103" applyNumberFormat="0" applyFill="0" applyAlignment="0" applyProtection="0">
      <alignment vertical="center"/>
    </xf>
    <xf numFmtId="0" fontId="74" fillId="0" borderId="103" applyNumberFormat="0" applyFill="0" applyAlignment="0" applyProtection="0">
      <alignment vertical="center"/>
    </xf>
    <xf numFmtId="0" fontId="74" fillId="0" borderId="104" applyNumberFormat="0" applyFill="0" applyAlignment="0" applyProtection="0">
      <alignment vertical="center"/>
    </xf>
    <xf numFmtId="0" fontId="74" fillId="0" borderId="104" applyNumberFormat="0" applyFill="0" applyAlignment="0" applyProtection="0">
      <alignment vertical="center"/>
    </xf>
    <xf numFmtId="0" fontId="74" fillId="0" borderId="103" applyNumberFormat="0" applyFill="0" applyAlignment="0" applyProtection="0">
      <alignment vertical="center"/>
    </xf>
    <xf numFmtId="0" fontId="74" fillId="0" borderId="104" applyNumberFormat="0" applyFill="0" applyAlignment="0" applyProtection="0">
      <alignment vertical="center"/>
    </xf>
    <xf numFmtId="0" fontId="74" fillId="0" borderId="103" applyNumberFormat="0" applyFill="0" applyAlignment="0" applyProtection="0">
      <alignment vertical="center"/>
    </xf>
    <xf numFmtId="0" fontId="74" fillId="0" borderId="104" applyNumberFormat="0" applyFill="0" applyAlignment="0" applyProtection="0">
      <alignment vertical="center"/>
    </xf>
    <xf numFmtId="0" fontId="74" fillId="0" borderId="103" applyNumberFormat="0" applyFill="0" applyAlignment="0" applyProtection="0">
      <alignment vertical="center"/>
    </xf>
    <xf numFmtId="0" fontId="74" fillId="0" borderId="104" applyNumberFormat="0" applyFill="0" applyAlignment="0" applyProtection="0">
      <alignment vertical="center"/>
    </xf>
    <xf numFmtId="0" fontId="74" fillId="0" borderId="103" applyNumberFormat="0" applyFill="0" applyAlignment="0" applyProtection="0">
      <alignment vertical="center"/>
    </xf>
    <xf numFmtId="0" fontId="74" fillId="0" borderId="104" applyNumberFormat="0" applyFill="0" applyAlignment="0" applyProtection="0">
      <alignment vertical="center"/>
    </xf>
    <xf numFmtId="0" fontId="74" fillId="0" borderId="103" applyNumberFormat="0" applyFill="0" applyAlignment="0" applyProtection="0">
      <alignment vertical="center"/>
    </xf>
    <xf numFmtId="0" fontId="74" fillId="0" borderId="104" applyNumberFormat="0" applyFill="0" applyAlignment="0" applyProtection="0">
      <alignment vertical="center"/>
    </xf>
    <xf numFmtId="0" fontId="74" fillId="0" borderId="103" applyNumberFormat="0" applyFill="0" applyAlignment="0" applyProtection="0">
      <alignment vertical="center"/>
    </xf>
    <xf numFmtId="0" fontId="74" fillId="0" borderId="104" applyNumberFormat="0" applyFill="0" applyAlignment="0" applyProtection="0">
      <alignment vertical="center"/>
    </xf>
    <xf numFmtId="0" fontId="74" fillId="0" borderId="103" applyNumberFormat="0" applyFill="0" applyAlignment="0" applyProtection="0">
      <alignment vertical="center"/>
    </xf>
    <xf numFmtId="0" fontId="74" fillId="0" borderId="104" applyNumberFormat="0" applyFill="0" applyAlignment="0" applyProtection="0">
      <alignment vertical="center"/>
    </xf>
    <xf numFmtId="0" fontId="74" fillId="0" borderId="103" applyNumberFormat="0" applyFill="0" applyAlignment="0" applyProtection="0">
      <alignment vertical="center"/>
    </xf>
    <xf numFmtId="0" fontId="74" fillId="0" borderId="104" applyNumberFormat="0" applyFill="0" applyAlignment="0" applyProtection="0">
      <alignment vertical="center"/>
    </xf>
    <xf numFmtId="0" fontId="74" fillId="0" borderId="103" applyNumberFormat="0" applyFill="0" applyAlignment="0" applyProtection="0">
      <alignment vertical="center"/>
    </xf>
    <xf numFmtId="0" fontId="74" fillId="0" borderId="104" applyNumberFormat="0" applyFill="0" applyAlignment="0" applyProtection="0">
      <alignment vertical="center"/>
    </xf>
    <xf numFmtId="0" fontId="74" fillId="0" borderId="103" applyNumberFormat="0" applyFill="0" applyAlignment="0" applyProtection="0">
      <alignment vertical="center"/>
    </xf>
    <xf numFmtId="0" fontId="74" fillId="0" borderId="104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5" fillId="47" borderId="0" applyNumberFormat="0" applyBorder="0" applyAlignment="0" applyProtection="0">
      <alignment vertical="center"/>
    </xf>
    <xf numFmtId="0" fontId="75" fillId="47" borderId="0" applyNumberFormat="0" applyBorder="0" applyAlignment="0" applyProtection="0">
      <alignment vertical="center"/>
    </xf>
    <xf numFmtId="0" fontId="75" fillId="47" borderId="0" applyNumberFormat="0" applyBorder="0" applyAlignment="0" applyProtection="0">
      <alignment vertical="center"/>
    </xf>
    <xf numFmtId="0" fontId="75" fillId="47" borderId="0" applyNumberFormat="0" applyBorder="0" applyAlignment="0" applyProtection="0">
      <alignment vertical="center"/>
    </xf>
    <xf numFmtId="0" fontId="75" fillId="47" borderId="0" applyNumberFormat="0" applyBorder="0" applyAlignment="0" applyProtection="0">
      <alignment vertical="center"/>
    </xf>
    <xf numFmtId="0" fontId="75" fillId="47" borderId="0" applyNumberFormat="0" applyBorder="0" applyAlignment="0" applyProtection="0">
      <alignment vertical="center"/>
    </xf>
    <xf numFmtId="0" fontId="75" fillId="47" borderId="0" applyNumberFormat="0" applyBorder="0" applyAlignment="0" applyProtection="0">
      <alignment vertical="center"/>
    </xf>
    <xf numFmtId="0" fontId="75" fillId="47" borderId="0" applyNumberFormat="0" applyBorder="0" applyAlignment="0" applyProtection="0">
      <alignment vertical="center"/>
    </xf>
    <xf numFmtId="0" fontId="75" fillId="47" borderId="0" applyNumberFormat="0" applyBorder="0" applyAlignment="0" applyProtection="0">
      <alignment vertical="center"/>
    </xf>
    <xf numFmtId="0" fontId="75" fillId="47" borderId="0" applyNumberFormat="0" applyBorder="0" applyAlignment="0" applyProtection="0">
      <alignment vertical="center"/>
    </xf>
    <xf numFmtId="0" fontId="75" fillId="47" borderId="0" applyNumberFormat="0" applyBorder="0" applyAlignment="0" applyProtection="0">
      <alignment vertical="center"/>
    </xf>
    <xf numFmtId="0" fontId="75" fillId="47" borderId="0" applyNumberFormat="0" applyBorder="0" applyAlignment="0" applyProtection="0">
      <alignment vertical="center"/>
    </xf>
    <xf numFmtId="0" fontId="75" fillId="47" borderId="0" applyNumberFormat="0" applyBorder="0" applyAlignment="0" applyProtection="0">
      <alignment vertical="center"/>
    </xf>
    <xf numFmtId="0" fontId="75" fillId="47" borderId="0" applyNumberFormat="0" applyBorder="0" applyAlignment="0" applyProtection="0">
      <alignment vertical="center"/>
    </xf>
    <xf numFmtId="0" fontId="75" fillId="47" borderId="0" applyNumberFormat="0" applyBorder="0" applyAlignment="0" applyProtection="0">
      <alignment vertical="center"/>
    </xf>
    <xf numFmtId="0" fontId="19" fillId="0" borderId="0" applyNumberFormat="0" applyFill="0" applyBorder="0" applyProtection="0">
      <alignment horizontal="left" wrapText="1" readingOrder="1"/>
    </xf>
    <xf numFmtId="0" fontId="76" fillId="41" borderId="105" applyNumberFormat="0" applyAlignment="0" applyProtection="0">
      <alignment vertical="center"/>
    </xf>
    <xf numFmtId="0" fontId="76" fillId="41" borderId="105" applyNumberFormat="0" applyAlignment="0" applyProtection="0">
      <alignment vertical="center"/>
    </xf>
    <xf numFmtId="0" fontId="76" fillId="41" borderId="105" applyNumberFormat="0" applyAlignment="0" applyProtection="0">
      <alignment vertical="center"/>
    </xf>
    <xf numFmtId="0" fontId="76" fillId="41" borderId="105" applyNumberFormat="0" applyAlignment="0" applyProtection="0">
      <alignment vertical="center"/>
    </xf>
    <xf numFmtId="0" fontId="76" fillId="41" borderId="105" applyNumberFormat="0" applyAlignment="0" applyProtection="0">
      <alignment vertical="center"/>
    </xf>
    <xf numFmtId="0" fontId="76" fillId="41" borderId="105" applyNumberFormat="0" applyAlignment="0" applyProtection="0">
      <alignment vertical="center"/>
    </xf>
    <xf numFmtId="0" fontId="76" fillId="41" borderId="105" applyNumberFormat="0" applyAlignment="0" applyProtection="0">
      <alignment vertical="center"/>
    </xf>
    <xf numFmtId="0" fontId="76" fillId="41" borderId="105" applyNumberFormat="0" applyAlignment="0" applyProtection="0">
      <alignment vertical="center"/>
    </xf>
    <xf numFmtId="0" fontId="76" fillId="41" borderId="105" applyNumberFormat="0" applyAlignment="0" applyProtection="0">
      <alignment vertical="center"/>
    </xf>
    <xf numFmtId="0" fontId="76" fillId="41" borderId="105" applyNumberFormat="0" applyAlignment="0" applyProtection="0">
      <alignment vertical="center"/>
    </xf>
    <xf numFmtId="0" fontId="76" fillId="41" borderId="105" applyNumberFormat="0" applyAlignment="0" applyProtection="0">
      <alignment vertical="center"/>
    </xf>
    <xf numFmtId="0" fontId="76" fillId="41" borderId="105" applyNumberFormat="0" applyAlignment="0" applyProtection="0">
      <alignment vertical="center"/>
    </xf>
    <xf numFmtId="0" fontId="76" fillId="41" borderId="105" applyNumberFormat="0" applyAlignment="0" applyProtection="0">
      <alignment vertical="center"/>
    </xf>
    <xf numFmtId="0" fontId="76" fillId="41" borderId="105" applyNumberFormat="0" applyAlignment="0" applyProtection="0">
      <alignment vertical="center"/>
    </xf>
    <xf numFmtId="0" fontId="76" fillId="41" borderId="105" applyNumberFormat="0" applyAlignment="0" applyProtection="0">
      <alignment vertical="center"/>
    </xf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77" fillId="0" borderId="0">
      <alignment vertical="center"/>
    </xf>
    <xf numFmtId="0" fontId="6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6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7" fillId="0" borderId="0"/>
    <xf numFmtId="0" fontId="21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42" fillId="0" borderId="0"/>
    <xf numFmtId="0" fontId="42" fillId="0" borderId="0"/>
    <xf numFmtId="0" fontId="78" fillId="0" borderId="0"/>
    <xf numFmtId="0" fontId="42" fillId="0" borderId="0"/>
    <xf numFmtId="0" fontId="78" fillId="0" borderId="0"/>
    <xf numFmtId="0" fontId="42" fillId="0" borderId="0"/>
    <xf numFmtId="0" fontId="78" fillId="0" borderId="0"/>
    <xf numFmtId="0" fontId="78" fillId="0" borderId="0"/>
    <xf numFmtId="0" fontId="78" fillId="0" borderId="0"/>
    <xf numFmtId="0" fontId="42" fillId="0" borderId="0"/>
    <xf numFmtId="0" fontId="78" fillId="0" borderId="0"/>
    <xf numFmtId="0" fontId="42" fillId="0" borderId="0"/>
    <xf numFmtId="0" fontId="78" fillId="0" borderId="0"/>
    <xf numFmtId="0" fontId="42" fillId="0" borderId="0"/>
    <xf numFmtId="0" fontId="78" fillId="0" borderId="0"/>
    <xf numFmtId="0" fontId="42" fillId="0" borderId="0"/>
    <xf numFmtId="0" fontId="78" fillId="0" borderId="0"/>
    <xf numFmtId="0" fontId="42" fillId="0" borderId="0"/>
    <xf numFmtId="0" fontId="78" fillId="0" borderId="0"/>
    <xf numFmtId="0" fontId="78" fillId="0" borderId="0"/>
    <xf numFmtId="0" fontId="42" fillId="0" borderId="0"/>
    <xf numFmtId="0" fontId="78" fillId="0" borderId="0"/>
    <xf numFmtId="0" fontId="42" fillId="0" borderId="0"/>
    <xf numFmtId="0" fontId="78" fillId="0" borderId="0"/>
    <xf numFmtId="0" fontId="42" fillId="0" borderId="0"/>
    <xf numFmtId="0" fontId="78" fillId="0" borderId="0"/>
    <xf numFmtId="0" fontId="42" fillId="0" borderId="0"/>
    <xf numFmtId="0" fontId="78" fillId="0" borderId="0"/>
    <xf numFmtId="0" fontId="42" fillId="0" borderId="0"/>
    <xf numFmtId="0" fontId="78" fillId="0" borderId="0"/>
    <xf numFmtId="0" fontId="42" fillId="0" borderId="0"/>
    <xf numFmtId="0" fontId="78" fillId="0" borderId="0"/>
    <xf numFmtId="0" fontId="42" fillId="0" borderId="0"/>
    <xf numFmtId="0" fontId="78" fillId="0" borderId="0"/>
    <xf numFmtId="0" fontId="42" fillId="0" borderId="0"/>
    <xf numFmtId="0" fontId="78" fillId="0" borderId="0"/>
    <xf numFmtId="0" fontId="59" fillId="0" borderId="0"/>
    <xf numFmtId="0" fontId="2" fillId="0" borderId="0">
      <alignment vertical="center"/>
    </xf>
    <xf numFmtId="0" fontId="42" fillId="0" borderId="0"/>
    <xf numFmtId="0" fontId="78" fillId="0" borderId="0"/>
    <xf numFmtId="0" fontId="42" fillId="0" borderId="0"/>
    <xf numFmtId="0" fontId="78" fillId="0" borderId="0"/>
    <xf numFmtId="0" fontId="42" fillId="0" borderId="0"/>
    <xf numFmtId="0" fontId="78" fillId="0" borderId="0"/>
    <xf numFmtId="0" fontId="79" fillId="0" borderId="0" applyNumberFormat="0" applyFill="0" applyBorder="0" applyAlignment="0" applyProtection="0">
      <alignment vertical="top"/>
      <protection locked="0"/>
    </xf>
  </cellStyleXfs>
  <cellXfs count="1420">
    <xf numFmtId="0" fontId="0" fillId="0" borderId="0" xfId="0">
      <alignment vertical="center"/>
    </xf>
    <xf numFmtId="176" fontId="4" fillId="2" borderId="0" xfId="922" applyNumberFormat="1" applyFont="1" applyFill="1" applyAlignment="1" applyProtection="1">
      <alignment vertical="center"/>
    </xf>
    <xf numFmtId="176" fontId="4" fillId="0" borderId="0" xfId="922" applyNumberFormat="1" applyFont="1" applyAlignment="1" applyProtection="1">
      <alignment vertical="center"/>
    </xf>
    <xf numFmtId="176" fontId="5" fillId="2" borderId="0" xfId="922" applyNumberFormat="1" applyFont="1" applyFill="1" applyAlignment="1" applyProtection="1">
      <alignment vertical="center"/>
    </xf>
    <xf numFmtId="176" fontId="5" fillId="0" borderId="0" xfId="922" applyNumberFormat="1" applyFont="1" applyAlignment="1" applyProtection="1">
      <alignment vertical="center"/>
    </xf>
    <xf numFmtId="176" fontId="6" fillId="0" borderId="0" xfId="922" applyNumberFormat="1" applyFont="1" applyAlignment="1" applyProtection="1">
      <alignment vertical="center"/>
    </xf>
    <xf numFmtId="176" fontId="6" fillId="3" borderId="0" xfId="922" applyNumberFormat="1" applyFont="1" applyFill="1" applyAlignment="1" applyProtection="1">
      <alignment vertical="center"/>
    </xf>
    <xf numFmtId="176" fontId="8" fillId="0" borderId="0" xfId="922" applyNumberFormat="1" applyFont="1" applyAlignment="1" applyProtection="1">
      <alignment vertical="center"/>
    </xf>
    <xf numFmtId="176" fontId="8" fillId="3" borderId="0" xfId="922" applyNumberFormat="1" applyFont="1" applyFill="1" applyAlignment="1" applyProtection="1">
      <alignment vertical="center"/>
    </xf>
    <xf numFmtId="176" fontId="9" fillId="3" borderId="0" xfId="922" applyNumberFormat="1" applyFont="1" applyFill="1" applyAlignment="1" applyProtection="1">
      <alignment vertical="center"/>
    </xf>
    <xf numFmtId="176" fontId="9" fillId="0" borderId="0" xfId="922" applyNumberFormat="1" applyFont="1" applyAlignment="1" applyProtection="1">
      <alignment vertical="center"/>
    </xf>
    <xf numFmtId="176" fontId="10" fillId="3" borderId="0" xfId="922" applyNumberFormat="1" applyFont="1" applyFill="1" applyAlignment="1" applyProtection="1">
      <alignment vertical="center"/>
    </xf>
    <xf numFmtId="176" fontId="10" fillId="0" borderId="0" xfId="922" applyNumberFormat="1" applyFont="1" applyAlignment="1" applyProtection="1">
      <alignment vertical="center"/>
    </xf>
    <xf numFmtId="176" fontId="11" fillId="0" borderId="0" xfId="922" applyNumberFormat="1" applyFont="1" applyAlignment="1" applyProtection="1">
      <alignment vertical="center"/>
    </xf>
    <xf numFmtId="176" fontId="11" fillId="3" borderId="0" xfId="922" applyNumberFormat="1" applyFont="1" applyFill="1" applyAlignment="1" applyProtection="1">
      <alignment vertical="center"/>
    </xf>
    <xf numFmtId="176" fontId="12" fillId="0" borderId="0" xfId="922" applyNumberFormat="1" applyFont="1" applyAlignment="1" applyProtection="1">
      <alignment vertical="center"/>
    </xf>
    <xf numFmtId="176" fontId="12" fillId="3" borderId="0" xfId="922" applyNumberFormat="1" applyFont="1" applyFill="1" applyAlignment="1" applyProtection="1">
      <alignment vertical="center"/>
    </xf>
    <xf numFmtId="176" fontId="8" fillId="0" borderId="0" xfId="922" applyNumberFormat="1" applyFont="1" applyFill="1" applyAlignment="1" applyProtection="1">
      <alignment vertical="center"/>
    </xf>
    <xf numFmtId="176" fontId="9" fillId="0" borderId="0" xfId="922" applyNumberFormat="1" applyFont="1" applyFill="1" applyAlignment="1" applyProtection="1">
      <alignment vertical="center"/>
    </xf>
    <xf numFmtId="176" fontId="13" fillId="3" borderId="0" xfId="922" applyNumberFormat="1" applyFont="1" applyFill="1" applyAlignment="1" applyProtection="1">
      <alignment vertical="center"/>
    </xf>
    <xf numFmtId="176" fontId="13" fillId="0" borderId="0" xfId="922" applyNumberFormat="1" applyFont="1" applyAlignment="1" applyProtection="1">
      <alignment vertical="center"/>
    </xf>
    <xf numFmtId="176" fontId="9" fillId="0" borderId="0" xfId="922" applyNumberFormat="1" applyFont="1" applyAlignment="1" applyProtection="1">
      <alignment horizontal="center" vertical="center"/>
    </xf>
    <xf numFmtId="176" fontId="14" fillId="3" borderId="0" xfId="922" applyNumberFormat="1" applyFont="1" applyFill="1" applyAlignment="1" applyProtection="1">
      <alignment vertical="center"/>
    </xf>
    <xf numFmtId="176" fontId="14" fillId="0" borderId="0" xfId="922" applyNumberFormat="1" applyFont="1" applyAlignment="1" applyProtection="1">
      <alignment vertical="center"/>
    </xf>
    <xf numFmtId="176" fontId="42" fillId="0" borderId="0" xfId="871" applyNumberFormat="1" applyFont="1" applyFill="1" applyAlignment="1" applyProtection="1">
      <alignment horizontal="center" vertical="center"/>
    </xf>
    <xf numFmtId="176" fontId="43" fillId="0" borderId="0" xfId="871" applyNumberFormat="1" applyFont="1" applyFill="1" applyAlignment="1" applyProtection="1">
      <alignment horizontal="center" vertical="center"/>
    </xf>
    <xf numFmtId="176" fontId="44" fillId="0" borderId="0" xfId="871" applyNumberFormat="1" applyFont="1" applyFill="1" applyAlignment="1" applyProtection="1">
      <alignment horizontal="center" vertical="center"/>
    </xf>
    <xf numFmtId="176" fontId="45" fillId="0" borderId="0" xfId="871" applyNumberFormat="1" applyFont="1" applyFill="1" applyAlignment="1" applyProtection="1">
      <alignment horizontal="left" vertical="center"/>
    </xf>
    <xf numFmtId="176" fontId="46" fillId="0" borderId="0" xfId="871" applyNumberFormat="1" applyFont="1" applyFill="1" applyAlignment="1" applyProtection="1">
      <alignment horizontal="left" vertical="center"/>
    </xf>
    <xf numFmtId="176" fontId="42" fillId="0" borderId="0" xfId="871" applyNumberFormat="1" applyFont="1" applyFill="1" applyAlignment="1" applyProtection="1">
      <alignment horizontal="center" vertical="center" wrapText="1"/>
    </xf>
    <xf numFmtId="176" fontId="47" fillId="0" borderId="0" xfId="871" applyNumberFormat="1" applyFont="1" applyFill="1" applyAlignment="1" applyProtection="1">
      <alignment horizontal="center" vertical="center"/>
    </xf>
    <xf numFmtId="176" fontId="47" fillId="3" borderId="0" xfId="871" applyNumberFormat="1" applyFont="1" applyFill="1" applyAlignment="1" applyProtection="1">
      <alignment horizontal="center" vertical="center"/>
    </xf>
    <xf numFmtId="176" fontId="48" fillId="3" borderId="0" xfId="871" applyNumberFormat="1" applyFont="1" applyFill="1" applyAlignment="1" applyProtection="1">
      <alignment horizontal="center" vertical="center"/>
    </xf>
    <xf numFmtId="176" fontId="48" fillId="0" borderId="0" xfId="871" applyNumberFormat="1" applyFont="1" applyFill="1" applyAlignment="1" applyProtection="1">
      <alignment horizontal="center" vertical="center"/>
    </xf>
    <xf numFmtId="176" fontId="49" fillId="3" borderId="0" xfId="871" applyNumberFormat="1" applyFont="1" applyFill="1" applyAlignment="1" applyProtection="1">
      <alignment horizontal="center" vertical="center"/>
    </xf>
    <xf numFmtId="176" fontId="49" fillId="0" borderId="0" xfId="871" applyNumberFormat="1" applyFont="1" applyFill="1" applyAlignment="1" applyProtection="1">
      <alignment horizontal="center" vertical="center"/>
    </xf>
    <xf numFmtId="176" fontId="50" fillId="0" borderId="0" xfId="871" applyNumberFormat="1" applyFont="1" applyFill="1" applyAlignment="1" applyProtection="1">
      <alignment horizontal="left" vertical="center"/>
    </xf>
    <xf numFmtId="176" fontId="50" fillId="3" borderId="0" xfId="871" applyNumberFormat="1" applyFont="1" applyFill="1" applyAlignment="1" applyProtection="1">
      <alignment horizontal="left" vertical="center"/>
    </xf>
    <xf numFmtId="176" fontId="51" fillId="0" borderId="0" xfId="871" applyNumberFormat="1" applyFont="1" applyFill="1" applyAlignment="1" applyProtection="1">
      <alignment horizontal="left"/>
    </xf>
    <xf numFmtId="176" fontId="51" fillId="3" borderId="0" xfId="871" applyNumberFormat="1" applyFont="1" applyFill="1" applyAlignment="1" applyProtection="1">
      <alignment horizontal="left"/>
    </xf>
    <xf numFmtId="176" fontId="47" fillId="3" borderId="0" xfId="871" applyNumberFormat="1" applyFont="1" applyFill="1" applyAlignment="1" applyProtection="1">
      <alignment horizontal="center" vertical="center" wrapText="1"/>
    </xf>
    <xf numFmtId="176" fontId="47" fillId="0" borderId="0" xfId="871" applyNumberFormat="1" applyFont="1" applyFill="1" applyAlignment="1" applyProtection="1">
      <alignment horizontal="center" vertical="center" wrapText="1"/>
    </xf>
    <xf numFmtId="0" fontId="7" fillId="0" borderId="0" xfId="871"/>
    <xf numFmtId="0" fontId="42" fillId="0" borderId="0" xfId="902"/>
    <xf numFmtId="0" fontId="52" fillId="0" borderId="0" xfId="902" applyFont="1" applyAlignment="1">
      <alignment horizontal="left" vertical="center"/>
    </xf>
    <xf numFmtId="0" fontId="53" fillId="0" borderId="0" xfId="902" applyFont="1" applyAlignment="1">
      <alignment horizontal="center" vertical="center"/>
    </xf>
    <xf numFmtId="0" fontId="54" fillId="0" borderId="0" xfId="902" applyFont="1" applyAlignment="1">
      <alignment horizontal="center" vertical="center"/>
    </xf>
    <xf numFmtId="0" fontId="52" fillId="0" borderId="0" xfId="902" applyFont="1"/>
    <xf numFmtId="0" fontId="55" fillId="4" borderId="4" xfId="902" applyFont="1" applyFill="1" applyBorder="1" applyAlignment="1">
      <alignment horizontal="center" vertical="center"/>
    </xf>
    <xf numFmtId="0" fontId="55" fillId="4" borderId="5" xfId="902" applyFont="1" applyFill="1" applyBorder="1" applyAlignment="1">
      <alignment horizontal="center" vertical="center"/>
    </xf>
    <xf numFmtId="0" fontId="55" fillId="4" borderId="6" xfId="902" applyFont="1" applyFill="1" applyBorder="1" applyAlignment="1">
      <alignment horizontal="center" vertical="center"/>
    </xf>
    <xf numFmtId="0" fontId="55" fillId="4" borderId="7" xfId="902" applyFont="1" applyFill="1" applyBorder="1" applyAlignment="1">
      <alignment horizontal="center" vertical="center"/>
    </xf>
    <xf numFmtId="0" fontId="55" fillId="4" borderId="8" xfId="902" applyFont="1" applyFill="1" applyBorder="1" applyAlignment="1">
      <alignment horizontal="center" vertical="center"/>
    </xf>
    <xf numFmtId="0" fontId="55" fillId="0" borderId="9" xfId="902" applyFont="1" applyBorder="1" applyAlignment="1">
      <alignment horizontal="center" vertical="center"/>
    </xf>
    <xf numFmtId="0" fontId="55" fillId="0" borderId="10" xfId="902" applyFont="1" applyBorder="1" applyAlignment="1">
      <alignment horizontal="center" vertical="center"/>
    </xf>
    <xf numFmtId="0" fontId="55" fillId="0" borderId="11" xfId="902" applyFont="1" applyBorder="1" applyAlignment="1">
      <alignment horizontal="center" vertical="center"/>
    </xf>
    <xf numFmtId="0" fontId="55" fillId="0" borderId="12" xfId="902" applyFont="1" applyBorder="1" applyAlignment="1">
      <alignment horizontal="center" vertical="center"/>
    </xf>
    <xf numFmtId="0" fontId="56" fillId="0" borderId="0" xfId="902" applyFont="1" applyAlignment="1">
      <alignment horizontal="left" vertical="center"/>
    </xf>
    <xf numFmtId="0" fontId="41" fillId="0" borderId="0" xfId="902" applyFont="1"/>
    <xf numFmtId="0" fontId="40" fillId="0" borderId="0" xfId="902" applyFont="1"/>
    <xf numFmtId="0" fontId="55" fillId="0" borderId="13" xfId="902" applyFont="1" applyBorder="1" applyAlignment="1">
      <alignment horizontal="center" vertical="center"/>
    </xf>
    <xf numFmtId="0" fontId="55" fillId="0" borderId="14" xfId="902" applyFont="1" applyBorder="1" applyAlignment="1">
      <alignment horizontal="center" vertical="center"/>
    </xf>
    <xf numFmtId="0" fontId="55" fillId="0" borderId="15" xfId="902" applyFont="1" applyBorder="1" applyAlignment="1">
      <alignment horizontal="center" vertical="center"/>
    </xf>
    <xf numFmtId="0" fontId="55" fillId="0" borderId="16" xfId="902" applyFont="1" applyBorder="1" applyAlignment="1">
      <alignment horizontal="center" vertical="center"/>
    </xf>
    <xf numFmtId="0" fontId="55" fillId="4" borderId="7" xfId="902" applyFont="1" applyFill="1" applyBorder="1" applyAlignment="1">
      <alignment horizontal="center" vertical="center" wrapText="1"/>
    </xf>
    <xf numFmtId="0" fontId="56" fillId="0" borderId="0" xfId="902" applyFont="1" applyFill="1" applyBorder="1" applyAlignment="1">
      <alignment horizontal="left" vertical="center"/>
    </xf>
    <xf numFmtId="0" fontId="56" fillId="0" borderId="0" xfId="902" applyFont="1"/>
    <xf numFmtId="0" fontId="42" fillId="0" borderId="0" xfId="900"/>
    <xf numFmtId="0" fontId="52" fillId="0" borderId="0" xfId="900" applyFont="1" applyAlignment="1">
      <alignment horizontal="left" vertical="center"/>
    </xf>
    <xf numFmtId="0" fontId="53" fillId="0" borderId="0" xfId="900" applyFont="1" applyAlignment="1">
      <alignment horizontal="center" vertical="center"/>
    </xf>
    <xf numFmtId="0" fontId="54" fillId="0" borderId="0" xfId="900" applyFont="1" applyAlignment="1">
      <alignment horizontal="center" vertical="center"/>
    </xf>
    <xf numFmtId="0" fontId="52" fillId="0" borderId="0" xfId="900" applyFont="1"/>
    <xf numFmtId="0" fontId="55" fillId="4" borderId="4" xfId="900" applyFont="1" applyFill="1" applyBorder="1" applyAlignment="1">
      <alignment horizontal="center" vertical="center"/>
    </xf>
    <xf numFmtId="0" fontId="55" fillId="4" borderId="5" xfId="900" applyFont="1" applyFill="1" applyBorder="1" applyAlignment="1">
      <alignment horizontal="center" vertical="center"/>
    </xf>
    <xf numFmtId="0" fontId="55" fillId="4" borderId="6" xfId="900" applyFont="1" applyFill="1" applyBorder="1" applyAlignment="1">
      <alignment horizontal="center" vertical="center"/>
    </xf>
    <xf numFmtId="0" fontId="55" fillId="4" borderId="7" xfId="900" applyFont="1" applyFill="1" applyBorder="1" applyAlignment="1">
      <alignment horizontal="center" vertical="center"/>
    </xf>
    <xf numFmtId="0" fontId="55" fillId="0" borderId="9" xfId="900" applyFont="1" applyBorder="1" applyAlignment="1">
      <alignment horizontal="center" vertical="center"/>
    </xf>
    <xf numFmtId="0" fontId="55" fillId="0" borderId="10" xfId="900" applyFont="1" applyBorder="1" applyAlignment="1">
      <alignment horizontal="center" vertical="center"/>
    </xf>
    <xf numFmtId="0" fontId="55" fillId="0" borderId="11" xfId="900" applyFont="1" applyBorder="1" applyAlignment="1">
      <alignment horizontal="center" vertical="center"/>
    </xf>
    <xf numFmtId="0" fontId="55" fillId="0" borderId="12" xfId="900" applyFont="1" applyBorder="1" applyAlignment="1">
      <alignment horizontal="center" vertical="center"/>
    </xf>
    <xf numFmtId="0" fontId="56" fillId="0" borderId="0" xfId="900" applyFont="1" applyAlignment="1">
      <alignment horizontal="left" vertical="center"/>
    </xf>
    <xf numFmtId="0" fontId="41" fillId="0" borderId="0" xfId="900" applyFont="1"/>
    <xf numFmtId="0" fontId="40" fillId="0" borderId="0" xfId="900" applyFont="1"/>
    <xf numFmtId="0" fontId="55" fillId="0" borderId="13" xfId="900" applyFont="1" applyBorder="1" applyAlignment="1">
      <alignment horizontal="center" vertical="center"/>
    </xf>
    <xf numFmtId="0" fontId="55" fillId="0" borderId="14" xfId="900" applyFont="1" applyBorder="1" applyAlignment="1">
      <alignment horizontal="center" vertical="center"/>
    </xf>
    <xf numFmtId="0" fontId="55" fillId="0" borderId="15" xfId="900" applyFont="1" applyBorder="1" applyAlignment="1">
      <alignment horizontal="center" vertical="center"/>
    </xf>
    <xf numFmtId="0" fontId="55" fillId="0" borderId="16" xfId="900" applyFont="1" applyBorder="1" applyAlignment="1">
      <alignment horizontal="center" vertical="center"/>
    </xf>
    <xf numFmtId="0" fontId="55" fillId="4" borderId="7" xfId="900" applyFont="1" applyFill="1" applyBorder="1" applyAlignment="1">
      <alignment horizontal="center" vertical="center" wrapText="1"/>
    </xf>
    <xf numFmtId="0" fontId="56" fillId="0" borderId="0" xfId="900" applyFont="1" applyFill="1" applyBorder="1" applyAlignment="1">
      <alignment horizontal="left" vertical="center"/>
    </xf>
    <xf numFmtId="0" fontId="56" fillId="0" borderId="0" xfId="900" applyFont="1"/>
    <xf numFmtId="0" fontId="42" fillId="0" borderId="0" xfId="896"/>
    <xf numFmtId="0" fontId="52" fillId="0" borderId="0" xfId="896" applyFont="1" applyAlignment="1">
      <alignment horizontal="left" vertical="center"/>
    </xf>
    <xf numFmtId="0" fontId="53" fillId="0" borderId="0" xfId="896" applyFont="1" applyAlignment="1">
      <alignment horizontal="center" vertical="center"/>
    </xf>
    <xf numFmtId="0" fontId="54" fillId="0" borderId="0" xfId="896" applyFont="1" applyAlignment="1">
      <alignment horizontal="center" vertical="center"/>
    </xf>
    <xf numFmtId="0" fontId="52" fillId="0" borderId="0" xfId="896" applyFont="1"/>
    <xf numFmtId="0" fontId="55" fillId="4" borderId="4" xfId="896" applyFont="1" applyFill="1" applyBorder="1" applyAlignment="1">
      <alignment horizontal="center" vertical="center"/>
    </xf>
    <xf numFmtId="0" fontId="55" fillId="4" borderId="5" xfId="896" applyFont="1" applyFill="1" applyBorder="1" applyAlignment="1">
      <alignment horizontal="center" vertical="center"/>
    </xf>
    <xf numFmtId="0" fontId="55" fillId="4" borderId="6" xfId="896" applyFont="1" applyFill="1" applyBorder="1" applyAlignment="1">
      <alignment horizontal="center" vertical="center"/>
    </xf>
    <xf numFmtId="0" fontId="55" fillId="4" borderId="7" xfId="896" applyFont="1" applyFill="1" applyBorder="1" applyAlignment="1">
      <alignment horizontal="center" vertical="center"/>
    </xf>
    <xf numFmtId="0" fontId="55" fillId="4" borderId="8" xfId="896" applyFont="1" applyFill="1" applyBorder="1" applyAlignment="1">
      <alignment horizontal="center" vertical="center"/>
    </xf>
    <xf numFmtId="0" fontId="55" fillId="0" borderId="9" xfId="896" applyFont="1" applyBorder="1" applyAlignment="1">
      <alignment horizontal="center" vertical="center"/>
    </xf>
    <xf numFmtId="0" fontId="55" fillId="0" borderId="10" xfId="896" applyFont="1" applyBorder="1" applyAlignment="1">
      <alignment horizontal="center" vertical="center"/>
    </xf>
    <xf numFmtId="0" fontId="55" fillId="0" borderId="11" xfId="896" applyFont="1" applyBorder="1" applyAlignment="1">
      <alignment horizontal="center" vertical="center"/>
    </xf>
    <xf numFmtId="0" fontId="55" fillId="0" borderId="12" xfId="896" applyFont="1" applyBorder="1" applyAlignment="1">
      <alignment horizontal="center" vertical="center"/>
    </xf>
    <xf numFmtId="0" fontId="56" fillId="0" borderId="0" xfId="896" applyFont="1" applyAlignment="1">
      <alignment horizontal="left" vertical="center"/>
    </xf>
    <xf numFmtId="0" fontId="41" fillId="0" borderId="0" xfId="896" applyFont="1"/>
    <xf numFmtId="0" fontId="40" fillId="0" borderId="0" xfId="896" applyFont="1"/>
    <xf numFmtId="0" fontId="55" fillId="0" borderId="13" xfId="896" applyFont="1" applyBorder="1" applyAlignment="1">
      <alignment horizontal="center" vertical="center"/>
    </xf>
    <xf numFmtId="0" fontId="55" fillId="0" borderId="14" xfId="896" applyFont="1" applyBorder="1" applyAlignment="1">
      <alignment horizontal="center" vertical="center"/>
    </xf>
    <xf numFmtId="0" fontId="55" fillId="0" borderId="15" xfId="896" applyFont="1" applyBorder="1" applyAlignment="1">
      <alignment horizontal="center" vertical="center"/>
    </xf>
    <xf numFmtId="0" fontId="55" fillId="0" borderId="16" xfId="896" applyFont="1" applyBorder="1" applyAlignment="1">
      <alignment horizontal="center" vertical="center"/>
    </xf>
    <xf numFmtId="0" fontId="55" fillId="4" borderId="7" xfId="896" applyFont="1" applyFill="1" applyBorder="1" applyAlignment="1">
      <alignment horizontal="center" vertical="center" wrapText="1"/>
    </xf>
    <xf numFmtId="0" fontId="56" fillId="0" borderId="0" xfId="896" applyFont="1" applyFill="1" applyBorder="1" applyAlignment="1">
      <alignment horizontal="left" vertical="center"/>
    </xf>
    <xf numFmtId="0" fontId="56" fillId="0" borderId="0" xfId="896" applyFont="1"/>
    <xf numFmtId="0" fontId="42" fillId="0" borderId="0" xfId="909"/>
    <xf numFmtId="0" fontId="52" fillId="0" borderId="0" xfId="909" applyFont="1" applyAlignment="1">
      <alignment horizontal="left" vertical="center"/>
    </xf>
    <xf numFmtId="0" fontId="53" fillId="0" borderId="0" xfId="909" applyFont="1" applyAlignment="1">
      <alignment horizontal="center" vertical="center"/>
    </xf>
    <xf numFmtId="0" fontId="54" fillId="0" borderId="0" xfId="909" applyFont="1" applyAlignment="1">
      <alignment horizontal="center" vertical="center"/>
    </xf>
    <xf numFmtId="0" fontId="52" fillId="0" borderId="0" xfId="909" applyFont="1"/>
    <xf numFmtId="0" fontId="55" fillId="4" borderId="4" xfId="909" applyFont="1" applyFill="1" applyBorder="1" applyAlignment="1">
      <alignment horizontal="center" vertical="center"/>
    </xf>
    <xf numFmtId="0" fontId="55" fillId="4" borderId="5" xfId="909" applyFont="1" applyFill="1" applyBorder="1" applyAlignment="1">
      <alignment horizontal="center" vertical="center"/>
    </xf>
    <xf numFmtId="0" fontId="55" fillId="4" borderId="6" xfId="909" applyFont="1" applyFill="1" applyBorder="1" applyAlignment="1">
      <alignment horizontal="center" vertical="center"/>
    </xf>
    <xf numFmtId="0" fontId="55" fillId="4" borderId="7" xfId="909" applyFont="1" applyFill="1" applyBorder="1" applyAlignment="1">
      <alignment horizontal="center" vertical="center"/>
    </xf>
    <xf numFmtId="0" fontId="55" fillId="4" borderId="8" xfId="909" applyFont="1" applyFill="1" applyBorder="1" applyAlignment="1">
      <alignment horizontal="center" vertical="center"/>
    </xf>
    <xf numFmtId="0" fontId="55" fillId="0" borderId="9" xfId="909" applyFont="1" applyBorder="1" applyAlignment="1">
      <alignment horizontal="center" vertical="center"/>
    </xf>
    <xf numFmtId="0" fontId="55" fillId="0" borderId="10" xfId="909" applyFont="1" applyBorder="1" applyAlignment="1">
      <alignment horizontal="center" vertical="center"/>
    </xf>
    <xf numFmtId="0" fontId="55" fillId="0" borderId="11" xfId="909" applyFont="1" applyBorder="1" applyAlignment="1">
      <alignment horizontal="center" vertical="center"/>
    </xf>
    <xf numFmtId="0" fontId="55" fillId="0" borderId="12" xfId="909" applyFont="1" applyBorder="1" applyAlignment="1">
      <alignment horizontal="center" vertical="center"/>
    </xf>
    <xf numFmtId="0" fontId="56" fillId="0" borderId="0" xfId="909" applyFont="1" applyAlignment="1">
      <alignment horizontal="left" vertical="center"/>
    </xf>
    <xf numFmtId="0" fontId="41" fillId="0" borderId="0" xfId="909" applyFont="1"/>
    <xf numFmtId="0" fontId="40" fillId="0" borderId="0" xfId="909" applyFont="1"/>
    <xf numFmtId="0" fontId="55" fillId="0" borderId="13" xfId="909" applyFont="1" applyBorder="1" applyAlignment="1">
      <alignment horizontal="center" vertical="center"/>
    </xf>
    <xf numFmtId="0" fontId="55" fillId="0" borderId="14" xfId="909" applyFont="1" applyBorder="1" applyAlignment="1">
      <alignment horizontal="center" vertical="center"/>
    </xf>
    <xf numFmtId="0" fontId="55" fillId="0" borderId="15" xfId="909" applyFont="1" applyBorder="1" applyAlignment="1">
      <alignment horizontal="center" vertical="center"/>
    </xf>
    <xf numFmtId="0" fontId="55" fillId="0" borderId="16" xfId="909" applyFont="1" applyBorder="1" applyAlignment="1">
      <alignment horizontal="center" vertical="center"/>
    </xf>
    <xf numFmtId="0" fontId="55" fillId="4" borderId="7" xfId="909" applyFont="1" applyFill="1" applyBorder="1" applyAlignment="1">
      <alignment horizontal="center" vertical="center" wrapText="1"/>
    </xf>
    <xf numFmtId="0" fontId="56" fillId="0" borderId="0" xfId="909" applyFont="1" applyFill="1" applyBorder="1" applyAlignment="1">
      <alignment horizontal="left" vertical="center"/>
    </xf>
    <xf numFmtId="0" fontId="56" fillId="0" borderId="0" xfId="909" applyFont="1"/>
    <xf numFmtId="0" fontId="42" fillId="0" borderId="0" xfId="894"/>
    <xf numFmtId="0" fontId="52" fillId="0" borderId="0" xfId="894" applyFont="1" applyAlignment="1">
      <alignment horizontal="left" vertical="center"/>
    </xf>
    <xf numFmtId="0" fontId="53" fillId="0" borderId="0" xfId="894" applyFont="1" applyAlignment="1">
      <alignment horizontal="center" vertical="center"/>
    </xf>
    <xf numFmtId="0" fontId="54" fillId="0" borderId="0" xfId="894" applyFont="1" applyAlignment="1">
      <alignment horizontal="center" vertical="center"/>
    </xf>
    <xf numFmtId="0" fontId="52" fillId="0" borderId="0" xfId="894" applyFont="1"/>
    <xf numFmtId="0" fontId="55" fillId="4" borderId="4" xfId="894" applyFont="1" applyFill="1" applyBorder="1" applyAlignment="1">
      <alignment horizontal="center" vertical="center"/>
    </xf>
    <xf numFmtId="0" fontId="55" fillId="4" borderId="5" xfId="894" applyFont="1" applyFill="1" applyBorder="1" applyAlignment="1">
      <alignment horizontal="center" vertical="center"/>
    </xf>
    <xf numFmtId="0" fontId="55" fillId="4" borderId="6" xfId="894" applyFont="1" applyFill="1" applyBorder="1" applyAlignment="1">
      <alignment horizontal="center" vertical="center"/>
    </xf>
    <xf numFmtId="0" fontId="55" fillId="4" borderId="7" xfId="894" applyFont="1" applyFill="1" applyBorder="1" applyAlignment="1">
      <alignment horizontal="center" vertical="center"/>
    </xf>
    <xf numFmtId="0" fontId="55" fillId="4" borderId="8" xfId="894" applyFont="1" applyFill="1" applyBorder="1" applyAlignment="1">
      <alignment horizontal="center" vertical="center"/>
    </xf>
    <xf numFmtId="0" fontId="55" fillId="0" borderId="9" xfId="894" applyFont="1" applyBorder="1" applyAlignment="1">
      <alignment horizontal="center" vertical="center"/>
    </xf>
    <xf numFmtId="0" fontId="55" fillId="0" borderId="10" xfId="894" applyFont="1" applyBorder="1" applyAlignment="1">
      <alignment horizontal="center" vertical="center"/>
    </xf>
    <xf numFmtId="0" fontId="55" fillId="0" borderId="11" xfId="894" applyFont="1" applyBorder="1" applyAlignment="1">
      <alignment horizontal="center" vertical="center"/>
    </xf>
    <xf numFmtId="0" fontId="55" fillId="0" borderId="12" xfId="894" applyFont="1" applyBorder="1" applyAlignment="1">
      <alignment horizontal="center" vertical="center"/>
    </xf>
    <xf numFmtId="0" fontId="56" fillId="0" borderId="0" xfId="894" applyFont="1" applyAlignment="1">
      <alignment horizontal="left" vertical="center"/>
    </xf>
    <xf numFmtId="0" fontId="41" fillId="0" borderId="0" xfId="894" applyFont="1"/>
    <xf numFmtId="0" fontId="40" fillId="0" borderId="0" xfId="894" applyFont="1"/>
    <xf numFmtId="0" fontId="55" fillId="0" borderId="13" xfId="894" applyFont="1" applyBorder="1" applyAlignment="1">
      <alignment horizontal="center" vertical="center"/>
    </xf>
    <xf numFmtId="0" fontId="55" fillId="0" borderId="14" xfId="894" applyFont="1" applyBorder="1" applyAlignment="1">
      <alignment horizontal="center" vertical="center"/>
    </xf>
    <xf numFmtId="0" fontId="55" fillId="0" borderId="15" xfId="894" applyFont="1" applyBorder="1" applyAlignment="1">
      <alignment horizontal="center" vertical="center"/>
    </xf>
    <xf numFmtId="0" fontId="55" fillId="0" borderId="16" xfId="894" applyFont="1" applyBorder="1" applyAlignment="1">
      <alignment horizontal="center" vertical="center"/>
    </xf>
    <xf numFmtId="0" fontId="55" fillId="4" borderId="7" xfId="894" applyFont="1" applyFill="1" applyBorder="1" applyAlignment="1">
      <alignment horizontal="center" vertical="center" wrapText="1"/>
    </xf>
    <xf numFmtId="0" fontId="56" fillId="0" borderId="0" xfId="894" applyFont="1" applyFill="1" applyBorder="1" applyAlignment="1">
      <alignment horizontal="left" vertical="center"/>
    </xf>
    <xf numFmtId="0" fontId="56" fillId="0" borderId="0" xfId="894" applyFont="1"/>
    <xf numFmtId="0" fontId="42" fillId="0" borderId="0" xfId="898"/>
    <xf numFmtId="0" fontId="52" fillId="0" borderId="0" xfId="898" applyFont="1" applyAlignment="1">
      <alignment horizontal="left" vertical="center"/>
    </xf>
    <xf numFmtId="0" fontId="53" fillId="0" borderId="0" xfId="898" applyFont="1" applyAlignment="1">
      <alignment horizontal="center" vertical="center"/>
    </xf>
    <xf numFmtId="0" fontId="54" fillId="0" borderId="0" xfId="898" applyFont="1" applyAlignment="1">
      <alignment horizontal="center" vertical="center"/>
    </xf>
    <xf numFmtId="0" fontId="52" fillId="0" borderId="0" xfId="898" applyFont="1"/>
    <xf numFmtId="0" fontId="55" fillId="4" borderId="4" xfId="898" applyFont="1" applyFill="1" applyBorder="1" applyAlignment="1">
      <alignment horizontal="center" vertical="center"/>
    </xf>
    <xf numFmtId="0" fontId="55" fillId="4" borderId="5" xfId="898" applyFont="1" applyFill="1" applyBorder="1" applyAlignment="1">
      <alignment horizontal="center" vertical="center"/>
    </xf>
    <xf numFmtId="0" fontId="55" fillId="4" borderId="6" xfId="898" applyFont="1" applyFill="1" applyBorder="1" applyAlignment="1">
      <alignment horizontal="center" vertical="center"/>
    </xf>
    <xf numFmtId="0" fontId="55" fillId="4" borderId="7" xfId="898" applyFont="1" applyFill="1" applyBorder="1" applyAlignment="1">
      <alignment horizontal="center" vertical="center"/>
    </xf>
    <xf numFmtId="0" fontId="55" fillId="4" borderId="8" xfId="898" applyFont="1" applyFill="1" applyBorder="1" applyAlignment="1">
      <alignment horizontal="center" vertical="center"/>
    </xf>
    <xf numFmtId="0" fontId="55" fillId="0" borderId="9" xfId="898" applyFont="1" applyBorder="1" applyAlignment="1">
      <alignment horizontal="center" vertical="center"/>
    </xf>
    <xf numFmtId="0" fontId="55" fillId="0" borderId="10" xfId="898" applyFont="1" applyBorder="1" applyAlignment="1">
      <alignment horizontal="center" vertical="center"/>
    </xf>
    <xf numFmtId="0" fontId="55" fillId="0" borderId="11" xfId="898" applyFont="1" applyBorder="1" applyAlignment="1">
      <alignment horizontal="center" vertical="center"/>
    </xf>
    <xf numFmtId="0" fontId="55" fillId="0" borderId="12" xfId="898" applyFont="1" applyBorder="1" applyAlignment="1">
      <alignment horizontal="center" vertical="center"/>
    </xf>
    <xf numFmtId="0" fontId="56" fillId="0" borderId="0" xfId="898" applyFont="1" applyAlignment="1">
      <alignment horizontal="left" vertical="center"/>
    </xf>
    <xf numFmtId="0" fontId="41" fillId="0" borderId="0" xfId="898" applyFont="1"/>
    <xf numFmtId="0" fontId="40" fillId="0" borderId="0" xfId="898" applyFont="1"/>
    <xf numFmtId="0" fontId="55" fillId="0" borderId="13" xfId="898" applyFont="1" applyBorder="1" applyAlignment="1">
      <alignment horizontal="center" vertical="center"/>
    </xf>
    <xf numFmtId="0" fontId="55" fillId="0" borderId="14" xfId="898" applyFont="1" applyBorder="1" applyAlignment="1">
      <alignment horizontal="center" vertical="center"/>
    </xf>
    <xf numFmtId="0" fontId="55" fillId="0" borderId="15" xfId="898" applyFont="1" applyBorder="1" applyAlignment="1">
      <alignment horizontal="center" vertical="center"/>
    </xf>
    <xf numFmtId="0" fontId="55" fillId="0" borderId="16" xfId="898" applyFont="1" applyBorder="1" applyAlignment="1">
      <alignment horizontal="center" vertical="center"/>
    </xf>
    <xf numFmtId="0" fontId="55" fillId="4" borderId="7" xfId="898" applyFont="1" applyFill="1" applyBorder="1" applyAlignment="1">
      <alignment horizontal="center" vertical="center" wrapText="1"/>
    </xf>
    <xf numFmtId="0" fontId="56" fillId="0" borderId="0" xfId="898" applyFont="1" applyFill="1" applyBorder="1" applyAlignment="1">
      <alignment horizontal="left" vertical="center"/>
    </xf>
    <xf numFmtId="0" fontId="56" fillId="0" borderId="0" xfId="898" applyFont="1"/>
    <xf numFmtId="0" fontId="42" fillId="0" borderId="0" xfId="907"/>
    <xf numFmtId="0" fontId="52" fillId="0" borderId="0" xfId="907" applyFont="1" applyAlignment="1">
      <alignment horizontal="left" vertical="center"/>
    </xf>
    <xf numFmtId="0" fontId="53" fillId="0" borderId="0" xfId="907" applyFont="1" applyAlignment="1">
      <alignment horizontal="center" vertical="center"/>
    </xf>
    <xf numFmtId="0" fontId="54" fillId="0" borderId="0" xfId="907" applyFont="1" applyAlignment="1">
      <alignment horizontal="center" vertical="center"/>
    </xf>
    <xf numFmtId="0" fontId="52" fillId="0" borderId="0" xfId="907" applyFont="1"/>
    <xf numFmtId="0" fontId="55" fillId="4" borderId="4" xfId="907" applyFont="1" applyFill="1" applyBorder="1" applyAlignment="1">
      <alignment horizontal="center" vertical="center"/>
    </xf>
    <xf numFmtId="0" fontId="55" fillId="4" borderId="5" xfId="907" applyFont="1" applyFill="1" applyBorder="1" applyAlignment="1">
      <alignment horizontal="center" vertical="center"/>
    </xf>
    <xf numFmtId="0" fontId="55" fillId="4" borderId="6" xfId="907" applyFont="1" applyFill="1" applyBorder="1" applyAlignment="1">
      <alignment horizontal="center" vertical="center"/>
    </xf>
    <xf numFmtId="0" fontId="55" fillId="4" borderId="7" xfId="907" applyFont="1" applyFill="1" applyBorder="1" applyAlignment="1">
      <alignment horizontal="center" vertical="center"/>
    </xf>
    <xf numFmtId="0" fontId="55" fillId="4" borderId="8" xfId="907" applyFont="1" applyFill="1" applyBorder="1" applyAlignment="1">
      <alignment horizontal="center" vertical="center"/>
    </xf>
    <xf numFmtId="0" fontId="55" fillId="0" borderId="9" xfId="907" applyFont="1" applyBorder="1" applyAlignment="1">
      <alignment horizontal="center" vertical="center"/>
    </xf>
    <xf numFmtId="0" fontId="55" fillId="0" borderId="10" xfId="907" applyFont="1" applyBorder="1" applyAlignment="1">
      <alignment horizontal="center" vertical="center"/>
    </xf>
    <xf numFmtId="0" fontId="55" fillId="0" borderId="11" xfId="907" applyFont="1" applyBorder="1" applyAlignment="1">
      <alignment horizontal="center" vertical="center"/>
    </xf>
    <xf numFmtId="0" fontId="55" fillId="0" borderId="12" xfId="907" applyFont="1" applyBorder="1" applyAlignment="1">
      <alignment horizontal="center" vertical="center"/>
    </xf>
    <xf numFmtId="0" fontId="56" fillId="0" borderId="0" xfId="907" applyFont="1" applyAlignment="1">
      <alignment horizontal="left" vertical="center"/>
    </xf>
    <xf numFmtId="0" fontId="41" fillId="0" borderId="0" xfId="907" applyFont="1"/>
    <xf numFmtId="0" fontId="40" fillId="0" borderId="0" xfId="907" applyFont="1"/>
    <xf numFmtId="0" fontId="55" fillId="0" borderId="13" xfId="907" applyFont="1" applyBorder="1" applyAlignment="1">
      <alignment horizontal="center" vertical="center"/>
    </xf>
    <xf numFmtId="0" fontId="55" fillId="0" borderId="14" xfId="907" applyFont="1" applyBorder="1" applyAlignment="1">
      <alignment horizontal="center" vertical="center"/>
    </xf>
    <xf numFmtId="0" fontId="55" fillId="0" borderId="15" xfId="907" applyFont="1" applyBorder="1" applyAlignment="1">
      <alignment horizontal="center" vertical="center"/>
    </xf>
    <xf numFmtId="0" fontId="55" fillId="0" borderId="16" xfId="907" applyFont="1" applyBorder="1" applyAlignment="1">
      <alignment horizontal="center" vertical="center"/>
    </xf>
    <xf numFmtId="0" fontId="55" fillId="4" borderId="7" xfId="907" applyFont="1" applyFill="1" applyBorder="1" applyAlignment="1">
      <alignment horizontal="center" vertical="center" wrapText="1"/>
    </xf>
    <xf numFmtId="0" fontId="56" fillId="0" borderId="0" xfId="907" applyFont="1" applyFill="1" applyBorder="1" applyAlignment="1">
      <alignment horizontal="left" vertical="center"/>
    </xf>
    <xf numFmtId="0" fontId="56" fillId="0" borderId="0" xfId="907" applyFont="1"/>
    <xf numFmtId="0" fontId="42" fillId="0" borderId="0" xfId="905"/>
    <xf numFmtId="0" fontId="52" fillId="0" borderId="0" xfId="905" applyFont="1" applyAlignment="1">
      <alignment horizontal="left" vertical="center"/>
    </xf>
    <xf numFmtId="0" fontId="53" fillId="0" borderId="0" xfId="905" applyFont="1" applyAlignment="1">
      <alignment horizontal="center" vertical="center"/>
    </xf>
    <xf numFmtId="0" fontId="54" fillId="0" borderId="0" xfId="905" applyFont="1" applyAlignment="1">
      <alignment horizontal="center" vertical="center"/>
    </xf>
    <xf numFmtId="0" fontId="52" fillId="0" borderId="0" xfId="905" applyFont="1"/>
    <xf numFmtId="0" fontId="55" fillId="4" borderId="4" xfId="905" applyFont="1" applyFill="1" applyBorder="1" applyAlignment="1">
      <alignment horizontal="center" vertical="center"/>
    </xf>
    <xf numFmtId="0" fontId="55" fillId="4" borderId="5" xfId="905" applyFont="1" applyFill="1" applyBorder="1" applyAlignment="1">
      <alignment horizontal="center" vertical="center"/>
    </xf>
    <xf numFmtId="0" fontId="55" fillId="4" borderId="6" xfId="905" applyFont="1" applyFill="1" applyBorder="1" applyAlignment="1">
      <alignment horizontal="center" vertical="center"/>
    </xf>
    <xf numFmtId="0" fontId="55" fillId="4" borderId="7" xfId="905" applyFont="1" applyFill="1" applyBorder="1" applyAlignment="1">
      <alignment horizontal="center" vertical="center"/>
    </xf>
    <xf numFmtId="0" fontId="55" fillId="4" borderId="8" xfId="905" applyFont="1" applyFill="1" applyBorder="1" applyAlignment="1">
      <alignment horizontal="center" vertical="center"/>
    </xf>
    <xf numFmtId="0" fontId="55" fillId="0" borderId="9" xfId="905" applyFont="1" applyBorder="1" applyAlignment="1">
      <alignment horizontal="center" vertical="center"/>
    </xf>
    <xf numFmtId="0" fontId="55" fillId="0" borderId="10" xfId="905" applyFont="1" applyBorder="1" applyAlignment="1">
      <alignment horizontal="center" vertical="center"/>
    </xf>
    <xf numFmtId="0" fontId="55" fillId="0" borderId="11" xfId="905" applyFont="1" applyBorder="1" applyAlignment="1">
      <alignment horizontal="center" vertical="center"/>
    </xf>
    <xf numFmtId="0" fontId="55" fillId="0" borderId="12" xfId="905" applyFont="1" applyBorder="1" applyAlignment="1">
      <alignment horizontal="center" vertical="center"/>
    </xf>
    <xf numFmtId="0" fontId="56" fillId="0" borderId="0" xfId="905" applyFont="1" applyAlignment="1">
      <alignment horizontal="left" vertical="center"/>
    </xf>
    <xf numFmtId="0" fontId="41" fillId="0" borderId="0" xfId="905" applyFont="1"/>
    <xf numFmtId="0" fontId="40" fillId="0" borderId="0" xfId="905" applyFont="1"/>
    <xf numFmtId="0" fontId="55" fillId="0" borderId="13" xfId="905" applyFont="1" applyBorder="1" applyAlignment="1">
      <alignment horizontal="center" vertical="center"/>
    </xf>
    <xf numFmtId="0" fontId="55" fillId="0" borderId="14" xfId="905" applyFont="1" applyBorder="1" applyAlignment="1">
      <alignment horizontal="center" vertical="center"/>
    </xf>
    <xf numFmtId="0" fontId="55" fillId="0" borderId="15" xfId="905" applyFont="1" applyBorder="1" applyAlignment="1">
      <alignment horizontal="center" vertical="center"/>
    </xf>
    <xf numFmtId="0" fontId="55" fillId="0" borderId="16" xfId="905" applyFont="1" applyBorder="1" applyAlignment="1">
      <alignment horizontal="center" vertical="center"/>
    </xf>
    <xf numFmtId="0" fontId="55" fillId="4" borderId="7" xfId="905" applyFont="1" applyFill="1" applyBorder="1" applyAlignment="1">
      <alignment horizontal="center" vertical="center" wrapText="1"/>
    </xf>
    <xf numFmtId="0" fontId="56" fillId="0" borderId="0" xfId="905" applyFont="1" applyFill="1" applyBorder="1" applyAlignment="1">
      <alignment horizontal="left" vertical="center"/>
    </xf>
    <xf numFmtId="0" fontId="56" fillId="0" borderId="0" xfId="905" applyFont="1"/>
    <xf numFmtId="0" fontId="42" fillId="0" borderId="0" xfId="886"/>
    <xf numFmtId="0" fontId="52" fillId="0" borderId="0" xfId="886" applyFont="1" applyAlignment="1">
      <alignment horizontal="left" vertical="center"/>
    </xf>
    <xf numFmtId="0" fontId="53" fillId="0" borderId="0" xfId="886" applyFont="1" applyAlignment="1">
      <alignment horizontal="center" vertical="center"/>
    </xf>
    <xf numFmtId="0" fontId="54" fillId="0" borderId="0" xfId="886" applyFont="1" applyAlignment="1">
      <alignment horizontal="center" vertical="center"/>
    </xf>
    <xf numFmtId="0" fontId="52" fillId="0" borderId="0" xfId="886" applyFont="1"/>
    <xf numFmtId="0" fontId="55" fillId="4" borderId="4" xfId="886" applyFont="1" applyFill="1" applyBorder="1" applyAlignment="1">
      <alignment horizontal="center" vertical="center"/>
    </xf>
    <xf numFmtId="0" fontId="55" fillId="4" borderId="5" xfId="886" applyFont="1" applyFill="1" applyBorder="1" applyAlignment="1">
      <alignment horizontal="center" vertical="center"/>
    </xf>
    <xf numFmtId="0" fontId="55" fillId="4" borderId="6" xfId="886" applyFont="1" applyFill="1" applyBorder="1" applyAlignment="1">
      <alignment horizontal="center" vertical="center"/>
    </xf>
    <xf numFmtId="0" fontId="55" fillId="4" borderId="7" xfId="886" applyFont="1" applyFill="1" applyBorder="1" applyAlignment="1">
      <alignment horizontal="center" vertical="center"/>
    </xf>
    <xf numFmtId="0" fontId="55" fillId="4" borderId="8" xfId="886" applyFont="1" applyFill="1" applyBorder="1" applyAlignment="1">
      <alignment horizontal="center" vertical="center"/>
    </xf>
    <xf numFmtId="0" fontId="55" fillId="0" borderId="9" xfId="886" applyFont="1" applyBorder="1" applyAlignment="1">
      <alignment horizontal="center" vertical="center"/>
    </xf>
    <xf numFmtId="0" fontId="55" fillId="0" borderId="10" xfId="886" applyFont="1" applyBorder="1" applyAlignment="1">
      <alignment horizontal="center" vertical="center"/>
    </xf>
    <xf numFmtId="0" fontId="55" fillId="0" borderId="11" xfId="886" applyFont="1" applyBorder="1" applyAlignment="1">
      <alignment horizontal="center" vertical="center"/>
    </xf>
    <xf numFmtId="0" fontId="55" fillId="0" borderId="12" xfId="886" applyFont="1" applyBorder="1" applyAlignment="1">
      <alignment horizontal="center" vertical="center"/>
    </xf>
    <xf numFmtId="0" fontId="56" fillId="0" borderId="0" xfId="886" applyFont="1" applyAlignment="1">
      <alignment horizontal="left" vertical="center"/>
    </xf>
    <xf numFmtId="0" fontId="41" fillId="0" borderId="0" xfId="886" applyFont="1"/>
    <xf numFmtId="0" fontId="40" fillId="0" borderId="0" xfId="886" applyFont="1"/>
    <xf numFmtId="0" fontId="55" fillId="0" borderId="13" xfId="886" applyFont="1" applyBorder="1" applyAlignment="1">
      <alignment horizontal="center" vertical="center"/>
    </xf>
    <xf numFmtId="0" fontId="55" fillId="0" borderId="14" xfId="886" applyFont="1" applyBorder="1" applyAlignment="1">
      <alignment horizontal="center" vertical="center"/>
    </xf>
    <xf numFmtId="0" fontId="55" fillId="0" borderId="15" xfId="886" applyFont="1" applyBorder="1" applyAlignment="1">
      <alignment horizontal="center" vertical="center"/>
    </xf>
    <xf numFmtId="0" fontId="55" fillId="0" borderId="16" xfId="886" applyFont="1" applyBorder="1" applyAlignment="1">
      <alignment horizontal="center" vertical="center"/>
    </xf>
    <xf numFmtId="0" fontId="55" fillId="4" borderId="7" xfId="886" applyFont="1" applyFill="1" applyBorder="1" applyAlignment="1">
      <alignment horizontal="center" vertical="center" wrapText="1"/>
    </xf>
    <xf numFmtId="0" fontId="56" fillId="0" borderId="0" xfId="886" applyFont="1" applyFill="1" applyBorder="1" applyAlignment="1">
      <alignment horizontal="left" vertical="center"/>
    </xf>
    <xf numFmtId="0" fontId="56" fillId="0" borderId="0" xfId="886" applyFont="1"/>
    <xf numFmtId="0" fontId="42" fillId="0" borderId="0" xfId="885"/>
    <xf numFmtId="0" fontId="52" fillId="0" borderId="0" xfId="885" applyFont="1" applyAlignment="1">
      <alignment horizontal="left" vertical="center"/>
    </xf>
    <xf numFmtId="0" fontId="53" fillId="0" borderId="0" xfId="885" applyFont="1" applyAlignment="1">
      <alignment horizontal="center" vertical="center"/>
    </xf>
    <xf numFmtId="0" fontId="54" fillId="0" borderId="0" xfId="885" applyFont="1" applyAlignment="1">
      <alignment horizontal="center" vertical="center"/>
    </xf>
    <xf numFmtId="0" fontId="52" fillId="0" borderId="0" xfId="885" applyFont="1"/>
    <xf numFmtId="0" fontId="55" fillId="4" borderId="4" xfId="885" applyFont="1" applyFill="1" applyBorder="1" applyAlignment="1">
      <alignment horizontal="center" vertical="center"/>
    </xf>
    <xf numFmtId="0" fontId="55" fillId="4" borderId="5" xfId="885" applyFont="1" applyFill="1" applyBorder="1" applyAlignment="1">
      <alignment horizontal="center" vertical="center"/>
    </xf>
    <xf numFmtId="0" fontId="55" fillId="4" borderId="6" xfId="885" applyFont="1" applyFill="1" applyBorder="1" applyAlignment="1">
      <alignment horizontal="center" vertical="center"/>
    </xf>
    <xf numFmtId="0" fontId="55" fillId="4" borderId="7" xfId="885" applyFont="1" applyFill="1" applyBorder="1" applyAlignment="1">
      <alignment horizontal="center" vertical="center"/>
    </xf>
    <xf numFmtId="0" fontId="55" fillId="4" borderId="8" xfId="885" applyFont="1" applyFill="1" applyBorder="1" applyAlignment="1">
      <alignment horizontal="center" vertical="center"/>
    </xf>
    <xf numFmtId="0" fontId="55" fillId="0" borderId="9" xfId="885" applyFont="1" applyBorder="1" applyAlignment="1">
      <alignment horizontal="center" vertical="center"/>
    </xf>
    <xf numFmtId="0" fontId="55" fillId="0" borderId="10" xfId="885" applyFont="1" applyBorder="1" applyAlignment="1">
      <alignment horizontal="center" vertical="center"/>
    </xf>
    <xf numFmtId="0" fontId="55" fillId="0" borderId="11" xfId="885" applyFont="1" applyBorder="1" applyAlignment="1">
      <alignment horizontal="center" vertical="center"/>
    </xf>
    <xf numFmtId="0" fontId="55" fillId="0" borderId="12" xfId="885" applyFont="1" applyBorder="1" applyAlignment="1">
      <alignment horizontal="center" vertical="center"/>
    </xf>
    <xf numFmtId="0" fontId="56" fillId="0" borderId="0" xfId="885" applyFont="1" applyAlignment="1">
      <alignment horizontal="left" vertical="center"/>
    </xf>
    <xf numFmtId="0" fontId="41" fillId="0" borderId="0" xfId="885" applyFont="1"/>
    <xf numFmtId="0" fontId="40" fillId="0" borderId="0" xfId="885" applyFont="1"/>
    <xf numFmtId="0" fontId="55" fillId="0" borderId="13" xfId="885" applyFont="1" applyBorder="1" applyAlignment="1">
      <alignment horizontal="center" vertical="center"/>
    </xf>
    <xf numFmtId="0" fontId="55" fillId="0" borderId="14" xfId="885" applyFont="1" applyBorder="1" applyAlignment="1">
      <alignment horizontal="center" vertical="center"/>
    </xf>
    <xf numFmtId="0" fontId="55" fillId="0" borderId="15" xfId="885" applyFont="1" applyBorder="1" applyAlignment="1">
      <alignment horizontal="center" vertical="center"/>
    </xf>
    <xf numFmtId="0" fontId="55" fillId="0" borderId="16" xfId="885" applyFont="1" applyBorder="1" applyAlignment="1">
      <alignment horizontal="center" vertical="center"/>
    </xf>
    <xf numFmtId="0" fontId="55" fillId="4" borderId="7" xfId="885" applyFont="1" applyFill="1" applyBorder="1" applyAlignment="1">
      <alignment horizontal="center" vertical="center" wrapText="1"/>
    </xf>
    <xf numFmtId="0" fontId="56" fillId="0" borderId="0" xfId="885" applyFont="1" applyFill="1" applyBorder="1" applyAlignment="1">
      <alignment horizontal="left" vertical="center"/>
    </xf>
    <xf numFmtId="0" fontId="56" fillId="0" borderId="0" xfId="885" applyFont="1"/>
    <xf numFmtId="0" fontId="42" fillId="0" borderId="0" xfId="925"/>
    <xf numFmtId="0" fontId="52" fillId="0" borderId="0" xfId="925" applyFont="1" applyAlignment="1">
      <alignment horizontal="left" vertical="center"/>
    </xf>
    <xf numFmtId="0" fontId="53" fillId="0" borderId="0" xfId="925" applyFont="1" applyAlignment="1">
      <alignment horizontal="center" vertical="center"/>
    </xf>
    <xf numFmtId="0" fontId="54" fillId="0" borderId="0" xfId="925" applyFont="1" applyAlignment="1">
      <alignment horizontal="center" vertical="center"/>
    </xf>
    <xf numFmtId="0" fontId="52" fillId="0" borderId="0" xfId="925" applyFont="1"/>
    <xf numFmtId="0" fontId="55" fillId="4" borderId="4" xfId="925" applyFont="1" applyFill="1" applyBorder="1" applyAlignment="1">
      <alignment horizontal="center" vertical="center"/>
    </xf>
    <xf numFmtId="0" fontId="55" fillId="4" borderId="5" xfId="925" applyFont="1" applyFill="1" applyBorder="1" applyAlignment="1">
      <alignment horizontal="center" vertical="center"/>
    </xf>
    <xf numFmtId="0" fontId="55" fillId="4" borderId="6" xfId="925" applyFont="1" applyFill="1" applyBorder="1" applyAlignment="1">
      <alignment horizontal="center" vertical="center"/>
    </xf>
    <xf numFmtId="0" fontId="55" fillId="4" borderId="7" xfId="925" applyFont="1" applyFill="1" applyBorder="1" applyAlignment="1">
      <alignment horizontal="center" vertical="center"/>
    </xf>
    <xf numFmtId="0" fontId="55" fillId="4" borderId="8" xfId="925" applyFont="1" applyFill="1" applyBorder="1" applyAlignment="1">
      <alignment horizontal="center" vertical="center"/>
    </xf>
    <xf numFmtId="0" fontId="55" fillId="0" borderId="9" xfId="925" applyFont="1" applyBorder="1" applyAlignment="1">
      <alignment horizontal="center" vertical="center"/>
    </xf>
    <xf numFmtId="0" fontId="55" fillId="0" borderId="10" xfId="925" applyFont="1" applyBorder="1" applyAlignment="1">
      <alignment horizontal="center" vertical="center"/>
    </xf>
    <xf numFmtId="0" fontId="55" fillId="0" borderId="11" xfId="925" applyFont="1" applyBorder="1" applyAlignment="1">
      <alignment horizontal="center" vertical="center"/>
    </xf>
    <xf numFmtId="0" fontId="55" fillId="0" borderId="12" xfId="925" applyFont="1" applyBorder="1" applyAlignment="1">
      <alignment horizontal="center" vertical="center"/>
    </xf>
    <xf numFmtId="0" fontId="56" fillId="0" borderId="0" xfId="925" applyFont="1" applyAlignment="1">
      <alignment horizontal="left" vertical="center"/>
    </xf>
    <xf numFmtId="0" fontId="41" fillId="0" borderId="0" xfId="925" applyFont="1"/>
    <xf numFmtId="0" fontId="40" fillId="0" borderId="0" xfId="925" applyFont="1"/>
    <xf numFmtId="0" fontId="55" fillId="0" borderId="13" xfId="925" applyFont="1" applyBorder="1" applyAlignment="1">
      <alignment horizontal="center" vertical="center"/>
    </xf>
    <xf numFmtId="0" fontId="55" fillId="0" borderId="14" xfId="925" applyFont="1" applyBorder="1" applyAlignment="1">
      <alignment horizontal="center" vertical="center"/>
    </xf>
    <xf numFmtId="0" fontId="55" fillId="0" borderId="15" xfId="925" applyFont="1" applyBorder="1" applyAlignment="1">
      <alignment horizontal="center" vertical="center"/>
    </xf>
    <xf numFmtId="0" fontId="55" fillId="0" borderId="16" xfId="925" applyFont="1" applyBorder="1" applyAlignment="1">
      <alignment horizontal="center" vertical="center"/>
    </xf>
    <xf numFmtId="0" fontId="55" fillId="4" borderId="7" xfId="925" applyFont="1" applyFill="1" applyBorder="1" applyAlignment="1">
      <alignment horizontal="center" vertical="center" wrapText="1"/>
    </xf>
    <xf numFmtId="0" fontId="56" fillId="0" borderId="0" xfId="925" applyFont="1" applyFill="1" applyBorder="1" applyAlignment="1">
      <alignment horizontal="left" vertical="center"/>
    </xf>
    <xf numFmtId="0" fontId="56" fillId="0" borderId="0" xfId="925" applyFont="1"/>
    <xf numFmtId="0" fontId="42" fillId="0" borderId="0" xfId="923"/>
    <xf numFmtId="0" fontId="52" fillId="0" borderId="0" xfId="923" applyFont="1" applyAlignment="1">
      <alignment horizontal="left" vertical="center"/>
    </xf>
    <xf numFmtId="0" fontId="53" fillId="0" borderId="0" xfId="923" applyFont="1" applyAlignment="1">
      <alignment horizontal="center" vertical="center"/>
    </xf>
    <xf numFmtId="0" fontId="54" fillId="0" borderId="0" xfId="923" applyFont="1" applyAlignment="1">
      <alignment horizontal="center" vertical="center"/>
    </xf>
    <xf numFmtId="0" fontId="52" fillId="0" borderId="0" xfId="923" applyFont="1"/>
    <xf numFmtId="0" fontId="55" fillId="4" borderId="4" xfId="923" applyFont="1" applyFill="1" applyBorder="1" applyAlignment="1">
      <alignment horizontal="center" vertical="center"/>
    </xf>
    <xf numFmtId="0" fontId="55" fillId="4" borderId="5" xfId="923" applyFont="1" applyFill="1" applyBorder="1" applyAlignment="1">
      <alignment horizontal="center" vertical="center"/>
    </xf>
    <xf numFmtId="0" fontId="55" fillId="4" borderId="6" xfId="923" applyFont="1" applyFill="1" applyBorder="1" applyAlignment="1">
      <alignment horizontal="center" vertical="center"/>
    </xf>
    <xf numFmtId="0" fontId="55" fillId="4" borderId="7" xfId="923" applyFont="1" applyFill="1" applyBorder="1" applyAlignment="1">
      <alignment horizontal="center" vertical="center"/>
    </xf>
    <xf numFmtId="0" fontId="55" fillId="4" borderId="8" xfId="923" applyFont="1" applyFill="1" applyBorder="1" applyAlignment="1">
      <alignment horizontal="center" vertical="center"/>
    </xf>
    <xf numFmtId="0" fontId="55" fillId="0" borderId="9" xfId="923" applyFont="1" applyBorder="1" applyAlignment="1">
      <alignment horizontal="center" vertical="center"/>
    </xf>
    <xf numFmtId="0" fontId="55" fillId="0" borderId="10" xfId="923" applyFont="1" applyBorder="1" applyAlignment="1">
      <alignment horizontal="center" vertical="center"/>
    </xf>
    <xf numFmtId="0" fontId="55" fillId="0" borderId="11" xfId="923" applyFont="1" applyBorder="1" applyAlignment="1">
      <alignment horizontal="center" vertical="center"/>
    </xf>
    <xf numFmtId="0" fontId="55" fillId="0" borderId="12" xfId="923" applyFont="1" applyBorder="1" applyAlignment="1">
      <alignment horizontal="center" vertical="center"/>
    </xf>
    <xf numFmtId="0" fontId="56" fillId="0" borderId="0" xfId="923" applyFont="1" applyAlignment="1">
      <alignment horizontal="left" vertical="center"/>
    </xf>
    <xf numFmtId="0" fontId="41" fillId="0" borderId="0" xfId="923" applyFont="1"/>
    <xf numFmtId="0" fontId="40" fillId="0" borderId="0" xfId="923" applyFont="1"/>
    <xf numFmtId="0" fontId="55" fillId="0" borderId="13" xfId="923" applyFont="1" applyBorder="1" applyAlignment="1">
      <alignment horizontal="center" vertical="center"/>
    </xf>
    <xf numFmtId="0" fontId="55" fillId="0" borderId="14" xfId="923" applyFont="1" applyBorder="1" applyAlignment="1">
      <alignment horizontal="center" vertical="center"/>
    </xf>
    <xf numFmtId="0" fontId="55" fillId="0" borderId="15" xfId="923" applyFont="1" applyBorder="1" applyAlignment="1">
      <alignment horizontal="center" vertical="center"/>
    </xf>
    <xf numFmtId="0" fontId="55" fillId="0" borderId="16" xfId="923" applyFont="1" applyBorder="1" applyAlignment="1">
      <alignment horizontal="center" vertical="center"/>
    </xf>
    <xf numFmtId="0" fontId="55" fillId="4" borderId="7" xfId="923" applyFont="1" applyFill="1" applyBorder="1" applyAlignment="1">
      <alignment horizontal="center" vertical="center" wrapText="1"/>
    </xf>
    <xf numFmtId="0" fontId="56" fillId="0" borderId="0" xfId="923" applyFont="1" applyFill="1" applyBorder="1" applyAlignment="1">
      <alignment horizontal="left" vertical="center"/>
    </xf>
    <xf numFmtId="0" fontId="56" fillId="0" borderId="0" xfId="923" applyFont="1"/>
    <xf numFmtId="0" fontId="42" fillId="0" borderId="0" xfId="913"/>
    <xf numFmtId="0" fontId="52" fillId="0" borderId="0" xfId="913" applyFont="1" applyAlignment="1">
      <alignment horizontal="left" vertical="center"/>
    </xf>
    <xf numFmtId="0" fontId="53" fillId="0" borderId="0" xfId="913" applyFont="1" applyAlignment="1">
      <alignment horizontal="center" vertical="center"/>
    </xf>
    <xf numFmtId="0" fontId="54" fillId="0" borderId="0" xfId="913" applyFont="1" applyAlignment="1">
      <alignment horizontal="center" vertical="center"/>
    </xf>
    <xf numFmtId="0" fontId="52" fillId="0" borderId="0" xfId="913" applyFont="1"/>
    <xf numFmtId="0" fontId="55" fillId="4" borderId="4" xfId="913" applyFont="1" applyFill="1" applyBorder="1" applyAlignment="1">
      <alignment horizontal="center" vertical="center"/>
    </xf>
    <xf numFmtId="0" fontId="55" fillId="4" borderId="5" xfId="913" applyFont="1" applyFill="1" applyBorder="1" applyAlignment="1">
      <alignment horizontal="center" vertical="center"/>
    </xf>
    <xf numFmtId="0" fontId="55" fillId="4" borderId="6" xfId="913" applyFont="1" applyFill="1" applyBorder="1" applyAlignment="1">
      <alignment horizontal="center" vertical="center"/>
    </xf>
    <xf numFmtId="0" fontId="55" fillId="4" borderId="7" xfId="913" applyFont="1" applyFill="1" applyBorder="1" applyAlignment="1">
      <alignment horizontal="center" vertical="center"/>
    </xf>
    <xf numFmtId="0" fontId="55" fillId="4" borderId="8" xfId="913" applyFont="1" applyFill="1" applyBorder="1" applyAlignment="1">
      <alignment horizontal="center" vertical="center"/>
    </xf>
    <xf numFmtId="0" fontId="55" fillId="0" borderId="9" xfId="913" applyFont="1" applyBorder="1" applyAlignment="1">
      <alignment horizontal="center" vertical="center"/>
    </xf>
    <xf numFmtId="0" fontId="55" fillId="0" borderId="10" xfId="913" applyFont="1" applyBorder="1" applyAlignment="1">
      <alignment horizontal="center" vertical="center"/>
    </xf>
    <xf numFmtId="0" fontId="55" fillId="0" borderId="11" xfId="913" applyFont="1" applyBorder="1" applyAlignment="1">
      <alignment horizontal="center" vertical="center"/>
    </xf>
    <xf numFmtId="0" fontId="55" fillId="0" borderId="12" xfId="913" applyFont="1" applyBorder="1" applyAlignment="1">
      <alignment horizontal="center" vertical="center"/>
    </xf>
    <xf numFmtId="0" fontId="56" fillId="0" borderId="0" xfId="913" applyFont="1" applyAlignment="1">
      <alignment horizontal="left" vertical="center"/>
    </xf>
    <xf numFmtId="0" fontId="41" fillId="0" borderId="0" xfId="913" applyFont="1"/>
    <xf numFmtId="0" fontId="40" fillId="0" borderId="0" xfId="913" applyFont="1"/>
    <xf numFmtId="0" fontId="55" fillId="0" borderId="13" xfId="913" applyFont="1" applyBorder="1" applyAlignment="1">
      <alignment horizontal="center" vertical="center"/>
    </xf>
    <xf numFmtId="0" fontId="55" fillId="0" borderId="14" xfId="913" applyFont="1" applyBorder="1" applyAlignment="1">
      <alignment horizontal="center" vertical="center"/>
    </xf>
    <xf numFmtId="0" fontId="55" fillId="0" borderId="15" xfId="913" applyFont="1" applyBorder="1" applyAlignment="1">
      <alignment horizontal="center" vertical="center"/>
    </xf>
    <xf numFmtId="0" fontId="55" fillId="0" borderId="16" xfId="913" applyFont="1" applyBorder="1" applyAlignment="1">
      <alignment horizontal="center" vertical="center"/>
    </xf>
    <xf numFmtId="0" fontId="55" fillId="4" borderId="7" xfId="913" applyFont="1" applyFill="1" applyBorder="1" applyAlignment="1">
      <alignment horizontal="center" vertical="center" wrapText="1"/>
    </xf>
    <xf numFmtId="0" fontId="56" fillId="0" borderId="0" xfId="913" applyFont="1" applyFill="1" applyBorder="1" applyAlignment="1">
      <alignment horizontal="left" vertical="center"/>
    </xf>
    <xf numFmtId="0" fontId="56" fillId="0" borderId="0" xfId="913" applyFont="1"/>
    <xf numFmtId="0" fontId="42" fillId="0" borderId="0" xfId="911"/>
    <xf numFmtId="0" fontId="52" fillId="0" borderId="0" xfId="911" applyFont="1" applyAlignment="1">
      <alignment horizontal="left" vertical="center"/>
    </xf>
    <xf numFmtId="0" fontId="53" fillId="0" borderId="0" xfId="911" applyFont="1" applyAlignment="1">
      <alignment horizontal="center" vertical="center"/>
    </xf>
    <xf numFmtId="0" fontId="54" fillId="0" borderId="0" xfId="911" applyFont="1" applyAlignment="1">
      <alignment horizontal="center" vertical="center"/>
    </xf>
    <xf numFmtId="0" fontId="52" fillId="0" borderId="0" xfId="911" applyFont="1"/>
    <xf numFmtId="0" fontId="55" fillId="4" borderId="4" xfId="911" applyFont="1" applyFill="1" applyBorder="1" applyAlignment="1">
      <alignment horizontal="center" vertical="center"/>
    </xf>
    <xf numFmtId="0" fontId="55" fillId="4" borderId="5" xfId="911" applyFont="1" applyFill="1" applyBorder="1" applyAlignment="1">
      <alignment horizontal="center" vertical="center"/>
    </xf>
    <xf numFmtId="0" fontId="55" fillId="4" borderId="6" xfId="911" applyFont="1" applyFill="1" applyBorder="1" applyAlignment="1">
      <alignment horizontal="center" vertical="center"/>
    </xf>
    <xf numFmtId="0" fontId="55" fillId="4" borderId="7" xfId="911" applyFont="1" applyFill="1" applyBorder="1" applyAlignment="1">
      <alignment horizontal="center" vertical="center"/>
    </xf>
    <xf numFmtId="0" fontId="55" fillId="4" borderId="8" xfId="911" applyFont="1" applyFill="1" applyBorder="1" applyAlignment="1">
      <alignment horizontal="center" vertical="center"/>
    </xf>
    <xf numFmtId="0" fontId="55" fillId="0" borderId="9" xfId="911" applyFont="1" applyBorder="1" applyAlignment="1">
      <alignment horizontal="center" vertical="center"/>
    </xf>
    <xf numFmtId="0" fontId="55" fillId="0" borderId="10" xfId="911" applyFont="1" applyBorder="1" applyAlignment="1">
      <alignment horizontal="center" vertical="center"/>
    </xf>
    <xf numFmtId="0" fontId="55" fillId="0" borderId="11" xfId="911" applyFont="1" applyBorder="1" applyAlignment="1">
      <alignment horizontal="center" vertical="center"/>
    </xf>
    <xf numFmtId="0" fontId="55" fillId="0" borderId="12" xfId="911" applyFont="1" applyBorder="1" applyAlignment="1">
      <alignment horizontal="center" vertical="center"/>
    </xf>
    <xf numFmtId="0" fontId="56" fillId="0" borderId="0" xfId="911" applyFont="1" applyAlignment="1">
      <alignment horizontal="left" vertical="center"/>
    </xf>
    <xf numFmtId="0" fontId="41" fillId="0" borderId="0" xfId="911" applyFont="1"/>
    <xf numFmtId="0" fontId="40" fillId="0" borderId="0" xfId="911" applyFont="1"/>
    <xf numFmtId="0" fontId="55" fillId="0" borderId="13" xfId="911" applyFont="1" applyBorder="1" applyAlignment="1">
      <alignment horizontal="center" vertical="center"/>
    </xf>
    <xf numFmtId="0" fontId="55" fillId="0" borderId="14" xfId="911" applyFont="1" applyBorder="1" applyAlignment="1">
      <alignment horizontal="center" vertical="center"/>
    </xf>
    <xf numFmtId="0" fontId="55" fillId="0" borderId="15" xfId="911" applyFont="1" applyBorder="1" applyAlignment="1">
      <alignment horizontal="center" vertical="center"/>
    </xf>
    <xf numFmtId="0" fontId="55" fillId="0" borderId="16" xfId="911" applyFont="1" applyBorder="1" applyAlignment="1">
      <alignment horizontal="center" vertical="center"/>
    </xf>
    <xf numFmtId="0" fontId="55" fillId="4" borderId="7" xfId="911" applyFont="1" applyFill="1" applyBorder="1" applyAlignment="1">
      <alignment horizontal="center" vertical="center" wrapText="1"/>
    </xf>
    <xf numFmtId="0" fontId="56" fillId="0" borderId="0" xfId="911" applyFont="1" applyFill="1" applyBorder="1" applyAlignment="1">
      <alignment horizontal="left" vertical="center"/>
    </xf>
    <xf numFmtId="0" fontId="56" fillId="0" borderId="0" xfId="911" applyFont="1"/>
    <xf numFmtId="0" fontId="42" fillId="0" borderId="0" xfId="890"/>
    <xf numFmtId="0" fontId="52" fillId="0" borderId="0" xfId="890" applyFont="1" applyAlignment="1">
      <alignment horizontal="left" vertical="center"/>
    </xf>
    <xf numFmtId="0" fontId="53" fillId="0" borderId="0" xfId="890" applyFont="1" applyAlignment="1">
      <alignment horizontal="center" vertical="center"/>
    </xf>
    <xf numFmtId="0" fontId="54" fillId="0" borderId="0" xfId="890" applyFont="1" applyAlignment="1">
      <alignment horizontal="center" vertical="center"/>
    </xf>
    <xf numFmtId="0" fontId="52" fillId="0" borderId="0" xfId="890" applyFont="1"/>
    <xf numFmtId="0" fontId="55" fillId="4" borderId="4" xfId="890" applyFont="1" applyFill="1" applyBorder="1" applyAlignment="1">
      <alignment horizontal="center" vertical="center"/>
    </xf>
    <xf numFmtId="0" fontId="55" fillId="4" borderId="5" xfId="890" applyFont="1" applyFill="1" applyBorder="1" applyAlignment="1">
      <alignment horizontal="center" vertical="center"/>
    </xf>
    <xf numFmtId="0" fontId="55" fillId="4" borderId="6" xfId="890" applyFont="1" applyFill="1" applyBorder="1" applyAlignment="1">
      <alignment horizontal="center" vertical="center"/>
    </xf>
    <xf numFmtId="0" fontId="55" fillId="4" borderId="7" xfId="890" applyFont="1" applyFill="1" applyBorder="1" applyAlignment="1">
      <alignment horizontal="center" vertical="center"/>
    </xf>
    <xf numFmtId="0" fontId="55" fillId="4" borderId="8" xfId="890" applyFont="1" applyFill="1" applyBorder="1" applyAlignment="1">
      <alignment horizontal="center" vertical="center"/>
    </xf>
    <xf numFmtId="0" fontId="55" fillId="0" borderId="9" xfId="890" applyFont="1" applyBorder="1" applyAlignment="1">
      <alignment horizontal="center" vertical="center"/>
    </xf>
    <xf numFmtId="0" fontId="55" fillId="0" borderId="10" xfId="890" applyFont="1" applyBorder="1" applyAlignment="1">
      <alignment horizontal="center" vertical="center"/>
    </xf>
    <xf numFmtId="0" fontId="55" fillId="0" borderId="11" xfId="890" applyFont="1" applyBorder="1" applyAlignment="1">
      <alignment horizontal="center" vertical="center"/>
    </xf>
    <xf numFmtId="0" fontId="55" fillId="0" borderId="12" xfId="890" applyFont="1" applyBorder="1" applyAlignment="1">
      <alignment horizontal="center" vertical="center"/>
    </xf>
    <xf numFmtId="0" fontId="56" fillId="0" borderId="0" xfId="890" applyFont="1" applyAlignment="1">
      <alignment horizontal="left" vertical="center"/>
    </xf>
    <xf numFmtId="0" fontId="41" fillId="0" borderId="0" xfId="890" applyFont="1"/>
    <xf numFmtId="0" fontId="40" fillId="0" borderId="0" xfId="890" applyFont="1"/>
    <xf numFmtId="0" fontId="55" fillId="0" borderId="13" xfId="890" applyFont="1" applyBorder="1" applyAlignment="1">
      <alignment horizontal="center" vertical="center"/>
    </xf>
    <xf numFmtId="0" fontId="55" fillId="0" borderId="14" xfId="890" applyFont="1" applyBorder="1" applyAlignment="1">
      <alignment horizontal="center" vertical="center"/>
    </xf>
    <xf numFmtId="0" fontId="55" fillId="0" borderId="15" xfId="890" applyFont="1" applyBorder="1" applyAlignment="1">
      <alignment horizontal="center" vertical="center"/>
    </xf>
    <xf numFmtId="0" fontId="55" fillId="0" borderId="16" xfId="890" applyFont="1" applyBorder="1" applyAlignment="1">
      <alignment horizontal="center" vertical="center"/>
    </xf>
    <xf numFmtId="0" fontId="55" fillId="4" borderId="7" xfId="890" applyFont="1" applyFill="1" applyBorder="1" applyAlignment="1">
      <alignment horizontal="center" vertical="center" wrapText="1"/>
    </xf>
    <xf numFmtId="0" fontId="56" fillId="0" borderId="0" xfId="890" applyFont="1" applyFill="1" applyBorder="1" applyAlignment="1">
      <alignment horizontal="left" vertical="center"/>
    </xf>
    <xf numFmtId="0" fontId="56" fillId="0" borderId="0" xfId="890" applyFont="1"/>
    <xf numFmtId="0" fontId="42" fillId="0" borderId="0" xfId="888"/>
    <xf numFmtId="0" fontId="52" fillId="0" borderId="0" xfId="888" applyFont="1" applyAlignment="1">
      <alignment horizontal="left" vertical="center"/>
    </xf>
    <xf numFmtId="0" fontId="53" fillId="0" borderId="0" xfId="888" applyFont="1" applyAlignment="1">
      <alignment horizontal="center" vertical="center"/>
    </xf>
    <xf numFmtId="0" fontId="54" fillId="0" borderId="0" xfId="888" applyFont="1" applyAlignment="1">
      <alignment horizontal="center" vertical="center"/>
    </xf>
    <xf numFmtId="0" fontId="52" fillId="0" borderId="0" xfId="888" applyFont="1"/>
    <xf numFmtId="0" fontId="55" fillId="4" borderId="4" xfId="888" applyFont="1" applyFill="1" applyBorder="1" applyAlignment="1">
      <alignment horizontal="center" vertical="center"/>
    </xf>
    <xf numFmtId="0" fontId="55" fillId="4" borderId="5" xfId="888" applyFont="1" applyFill="1" applyBorder="1" applyAlignment="1">
      <alignment horizontal="center" vertical="center"/>
    </xf>
    <xf numFmtId="0" fontId="55" fillId="4" borderId="6" xfId="888" applyFont="1" applyFill="1" applyBorder="1" applyAlignment="1">
      <alignment horizontal="center" vertical="center"/>
    </xf>
    <xf numFmtId="0" fontId="55" fillId="4" borderId="7" xfId="888" applyFont="1" applyFill="1" applyBorder="1" applyAlignment="1">
      <alignment horizontal="center" vertical="center"/>
    </xf>
    <xf numFmtId="0" fontId="55" fillId="4" borderId="8" xfId="888" applyFont="1" applyFill="1" applyBorder="1" applyAlignment="1">
      <alignment horizontal="center" vertical="center"/>
    </xf>
    <xf numFmtId="0" fontId="55" fillId="0" borderId="9" xfId="888" applyFont="1" applyBorder="1" applyAlignment="1">
      <alignment horizontal="center" vertical="center"/>
    </xf>
    <xf numFmtId="0" fontId="55" fillId="0" borderId="10" xfId="888" applyFont="1" applyBorder="1" applyAlignment="1">
      <alignment horizontal="center" vertical="center"/>
    </xf>
    <xf numFmtId="0" fontId="55" fillId="0" borderId="11" xfId="888" applyFont="1" applyBorder="1" applyAlignment="1">
      <alignment horizontal="center" vertical="center"/>
    </xf>
    <xf numFmtId="0" fontId="55" fillId="0" borderId="12" xfId="888" applyFont="1" applyBorder="1" applyAlignment="1">
      <alignment horizontal="center" vertical="center"/>
    </xf>
    <xf numFmtId="0" fontId="56" fillId="0" borderId="0" xfId="888" applyFont="1" applyAlignment="1">
      <alignment horizontal="left" vertical="center"/>
    </xf>
    <xf numFmtId="0" fontId="41" fillId="0" borderId="0" xfId="888" applyFont="1"/>
    <xf numFmtId="0" fontId="40" fillId="0" borderId="0" xfId="888" applyFont="1"/>
    <xf numFmtId="0" fontId="55" fillId="0" borderId="13" xfId="888" applyFont="1" applyBorder="1" applyAlignment="1">
      <alignment horizontal="center" vertical="center"/>
    </xf>
    <xf numFmtId="0" fontId="55" fillId="0" borderId="14" xfId="888" applyFont="1" applyBorder="1" applyAlignment="1">
      <alignment horizontal="center" vertical="center"/>
    </xf>
    <xf numFmtId="0" fontId="55" fillId="0" borderId="15" xfId="888" applyFont="1" applyBorder="1" applyAlignment="1">
      <alignment horizontal="center" vertical="center"/>
    </xf>
    <xf numFmtId="0" fontId="55" fillId="0" borderId="16" xfId="888" applyFont="1" applyBorder="1" applyAlignment="1">
      <alignment horizontal="center" vertical="center"/>
    </xf>
    <xf numFmtId="0" fontId="55" fillId="4" borderId="7" xfId="888" applyFont="1" applyFill="1" applyBorder="1" applyAlignment="1">
      <alignment horizontal="center" vertical="center" wrapText="1"/>
    </xf>
    <xf numFmtId="0" fontId="56" fillId="0" borderId="0" xfId="888" applyFont="1" applyFill="1" applyBorder="1" applyAlignment="1">
      <alignment horizontal="left" vertical="center"/>
    </xf>
    <xf numFmtId="0" fontId="56" fillId="0" borderId="0" xfId="888" applyFont="1"/>
    <xf numFmtId="0" fontId="42" fillId="0" borderId="0" xfId="915"/>
    <xf numFmtId="0" fontId="52" fillId="0" borderId="0" xfId="915" applyFont="1" applyAlignment="1">
      <alignment horizontal="left" vertical="center"/>
    </xf>
    <xf numFmtId="0" fontId="53" fillId="0" borderId="0" xfId="915" applyFont="1" applyAlignment="1">
      <alignment horizontal="center" vertical="center"/>
    </xf>
    <xf numFmtId="0" fontId="54" fillId="0" borderId="0" xfId="915" applyFont="1" applyAlignment="1">
      <alignment horizontal="center" vertical="center"/>
    </xf>
    <xf numFmtId="0" fontId="52" fillId="0" borderId="0" xfId="915" applyFont="1"/>
    <xf numFmtId="0" fontId="55" fillId="4" borderId="4" xfId="915" applyFont="1" applyFill="1" applyBorder="1" applyAlignment="1">
      <alignment horizontal="center" vertical="center"/>
    </xf>
    <xf numFmtId="0" fontId="55" fillId="4" borderId="5" xfId="915" applyFont="1" applyFill="1" applyBorder="1" applyAlignment="1">
      <alignment horizontal="center" vertical="center"/>
    </xf>
    <xf numFmtId="0" fontId="55" fillId="4" borderId="6" xfId="915" applyFont="1" applyFill="1" applyBorder="1" applyAlignment="1">
      <alignment horizontal="center" vertical="center"/>
    </xf>
    <xf numFmtId="0" fontId="55" fillId="4" borderId="7" xfId="915" applyFont="1" applyFill="1" applyBorder="1" applyAlignment="1">
      <alignment horizontal="center" vertical="center"/>
    </xf>
    <xf numFmtId="0" fontId="55" fillId="4" borderId="8" xfId="915" applyFont="1" applyFill="1" applyBorder="1" applyAlignment="1">
      <alignment horizontal="center" vertical="center"/>
    </xf>
    <xf numFmtId="0" fontId="55" fillId="0" borderId="9" xfId="915" applyFont="1" applyBorder="1" applyAlignment="1">
      <alignment horizontal="center" vertical="center"/>
    </xf>
    <xf numFmtId="0" fontId="55" fillId="0" borderId="10" xfId="915" applyFont="1" applyBorder="1" applyAlignment="1">
      <alignment horizontal="center" vertical="center"/>
    </xf>
    <xf numFmtId="0" fontId="55" fillId="0" borderId="11" xfId="915" applyFont="1" applyBorder="1" applyAlignment="1">
      <alignment horizontal="center" vertical="center"/>
    </xf>
    <xf numFmtId="0" fontId="55" fillId="0" borderId="12" xfId="915" applyFont="1" applyBorder="1" applyAlignment="1">
      <alignment horizontal="center" vertical="center"/>
    </xf>
    <xf numFmtId="0" fontId="56" fillId="0" borderId="0" xfId="915" applyFont="1" applyAlignment="1">
      <alignment horizontal="left" vertical="center"/>
    </xf>
    <xf numFmtId="0" fontId="41" fillId="0" borderId="0" xfId="915" applyFont="1"/>
    <xf numFmtId="0" fontId="40" fillId="0" borderId="0" xfId="915" applyFont="1"/>
    <xf numFmtId="0" fontId="55" fillId="0" borderId="13" xfId="915" applyFont="1" applyBorder="1" applyAlignment="1">
      <alignment horizontal="center" vertical="center"/>
    </xf>
    <xf numFmtId="0" fontId="55" fillId="0" borderId="14" xfId="915" applyFont="1" applyBorder="1" applyAlignment="1">
      <alignment horizontal="center" vertical="center"/>
    </xf>
    <xf numFmtId="0" fontId="55" fillId="0" borderId="15" xfId="915" applyFont="1" applyBorder="1" applyAlignment="1">
      <alignment horizontal="center" vertical="center"/>
    </xf>
    <xf numFmtId="0" fontId="55" fillId="0" borderId="16" xfId="915" applyFont="1" applyBorder="1" applyAlignment="1">
      <alignment horizontal="center" vertical="center"/>
    </xf>
    <xf numFmtId="0" fontId="55" fillId="4" borderId="7" xfId="915" applyFont="1" applyFill="1" applyBorder="1" applyAlignment="1">
      <alignment horizontal="center" vertical="center" wrapText="1"/>
    </xf>
    <xf numFmtId="0" fontId="56" fillId="0" borderId="0" xfId="915" applyFont="1" applyFill="1" applyBorder="1" applyAlignment="1">
      <alignment horizontal="left" vertical="center"/>
    </xf>
    <xf numFmtId="0" fontId="56" fillId="0" borderId="0" xfId="915" applyFont="1"/>
    <xf numFmtId="0" fontId="42" fillId="0" borderId="0" xfId="927"/>
    <xf numFmtId="0" fontId="52" fillId="0" borderId="0" xfId="927" applyFont="1" applyAlignment="1">
      <alignment horizontal="left" vertical="center"/>
    </xf>
    <xf numFmtId="0" fontId="53" fillId="0" borderId="0" xfId="927" applyFont="1" applyAlignment="1">
      <alignment horizontal="center" vertical="center"/>
    </xf>
    <xf numFmtId="0" fontId="54" fillId="0" borderId="0" xfId="927" applyFont="1" applyAlignment="1">
      <alignment horizontal="center" vertical="center"/>
    </xf>
    <xf numFmtId="0" fontId="52" fillId="0" borderId="0" xfId="927" applyFont="1"/>
    <xf numFmtId="0" fontId="55" fillId="4" borderId="4" xfId="927" applyFont="1" applyFill="1" applyBorder="1" applyAlignment="1">
      <alignment horizontal="center" vertical="center"/>
    </xf>
    <xf numFmtId="0" fontId="55" fillId="4" borderId="5" xfId="927" applyFont="1" applyFill="1" applyBorder="1" applyAlignment="1">
      <alignment horizontal="center" vertical="center"/>
    </xf>
    <xf numFmtId="0" fontId="55" fillId="4" borderId="6" xfId="927" applyFont="1" applyFill="1" applyBorder="1" applyAlignment="1">
      <alignment horizontal="center" vertical="center"/>
    </xf>
    <xf numFmtId="0" fontId="55" fillId="4" borderId="7" xfId="927" applyFont="1" applyFill="1" applyBorder="1" applyAlignment="1">
      <alignment horizontal="center" vertical="center"/>
    </xf>
    <xf numFmtId="0" fontId="55" fillId="4" borderId="8" xfId="927" applyFont="1" applyFill="1" applyBorder="1" applyAlignment="1">
      <alignment horizontal="center" vertical="center"/>
    </xf>
    <xf numFmtId="0" fontId="55" fillId="0" borderId="9" xfId="927" applyFont="1" applyBorder="1" applyAlignment="1">
      <alignment horizontal="center" vertical="center"/>
    </xf>
    <xf numFmtId="0" fontId="55" fillId="0" borderId="10" xfId="927" applyFont="1" applyBorder="1" applyAlignment="1">
      <alignment horizontal="center" vertical="center"/>
    </xf>
    <xf numFmtId="0" fontId="55" fillId="0" borderId="11" xfId="927" applyFont="1" applyBorder="1" applyAlignment="1">
      <alignment horizontal="center" vertical="center"/>
    </xf>
    <xf numFmtId="0" fontId="55" fillId="0" borderId="12" xfId="927" applyFont="1" applyBorder="1" applyAlignment="1">
      <alignment horizontal="center" vertical="center"/>
    </xf>
    <xf numFmtId="0" fontId="56" fillId="0" borderId="0" xfId="927" applyFont="1" applyAlignment="1">
      <alignment horizontal="left" vertical="center"/>
    </xf>
    <xf numFmtId="0" fontId="41" fillId="0" borderId="0" xfId="927" applyFont="1"/>
    <xf numFmtId="0" fontId="40" fillId="0" borderId="0" xfId="927" applyFont="1"/>
    <xf numFmtId="0" fontId="55" fillId="0" borderId="13" xfId="927" applyFont="1" applyBorder="1" applyAlignment="1">
      <alignment horizontal="center" vertical="center"/>
    </xf>
    <xf numFmtId="0" fontId="55" fillId="0" borderId="14" xfId="927" applyFont="1" applyBorder="1" applyAlignment="1">
      <alignment horizontal="center" vertical="center"/>
    </xf>
    <xf numFmtId="0" fontId="55" fillId="0" borderId="15" xfId="927" applyFont="1" applyBorder="1" applyAlignment="1">
      <alignment horizontal="center" vertical="center"/>
    </xf>
    <xf numFmtId="0" fontId="55" fillId="0" borderId="16" xfId="927" applyFont="1" applyBorder="1" applyAlignment="1">
      <alignment horizontal="center" vertical="center"/>
    </xf>
    <xf numFmtId="0" fontId="55" fillId="4" borderId="7" xfId="927" applyFont="1" applyFill="1" applyBorder="1" applyAlignment="1">
      <alignment horizontal="center" vertical="center" wrapText="1"/>
    </xf>
    <xf numFmtId="0" fontId="56" fillId="0" borderId="0" xfId="927" applyFont="1" applyFill="1" applyBorder="1" applyAlignment="1">
      <alignment horizontal="left" vertical="center"/>
    </xf>
    <xf numFmtId="0" fontId="56" fillId="0" borderId="0" xfId="927" applyFont="1"/>
    <xf numFmtId="0" fontId="42" fillId="0" borderId="0" xfId="917"/>
    <xf numFmtId="0" fontId="52" fillId="0" borderId="0" xfId="917" applyFont="1" applyAlignment="1">
      <alignment horizontal="left" vertical="center"/>
    </xf>
    <xf numFmtId="0" fontId="53" fillId="0" borderId="0" xfId="917" applyFont="1" applyAlignment="1">
      <alignment horizontal="center" vertical="center"/>
    </xf>
    <xf numFmtId="0" fontId="54" fillId="0" borderId="0" xfId="917" applyFont="1" applyAlignment="1">
      <alignment horizontal="center" vertical="center"/>
    </xf>
    <xf numFmtId="0" fontId="52" fillId="0" borderId="0" xfId="917" applyFont="1"/>
    <xf numFmtId="0" fontId="55" fillId="4" borderId="4" xfId="917" applyFont="1" applyFill="1" applyBorder="1" applyAlignment="1">
      <alignment horizontal="center" vertical="center"/>
    </xf>
    <xf numFmtId="0" fontId="55" fillId="4" borderId="5" xfId="917" applyFont="1" applyFill="1" applyBorder="1" applyAlignment="1">
      <alignment horizontal="center" vertical="center"/>
    </xf>
    <xf numFmtId="0" fontId="55" fillId="4" borderId="6" xfId="917" applyFont="1" applyFill="1" applyBorder="1" applyAlignment="1">
      <alignment horizontal="center" vertical="center"/>
    </xf>
    <xf numFmtId="0" fontId="55" fillId="4" borderId="7" xfId="917" applyFont="1" applyFill="1" applyBorder="1" applyAlignment="1">
      <alignment horizontal="center" vertical="center"/>
    </xf>
    <xf numFmtId="0" fontId="55" fillId="4" borderId="8" xfId="917" applyFont="1" applyFill="1" applyBorder="1" applyAlignment="1">
      <alignment horizontal="center" vertical="center"/>
    </xf>
    <xf numFmtId="0" fontId="55" fillId="0" borderId="9" xfId="917" applyFont="1" applyBorder="1" applyAlignment="1">
      <alignment horizontal="center" vertical="center"/>
    </xf>
    <xf numFmtId="0" fontId="55" fillId="0" borderId="10" xfId="917" applyFont="1" applyBorder="1" applyAlignment="1">
      <alignment horizontal="center" vertical="center"/>
    </xf>
    <xf numFmtId="0" fontId="55" fillId="0" borderId="11" xfId="917" applyFont="1" applyBorder="1" applyAlignment="1">
      <alignment horizontal="center" vertical="center"/>
    </xf>
    <xf numFmtId="0" fontId="55" fillId="0" borderId="12" xfId="917" applyFont="1" applyBorder="1" applyAlignment="1">
      <alignment horizontal="center" vertical="center"/>
    </xf>
    <xf numFmtId="0" fontId="56" fillId="0" borderId="0" xfId="917" applyFont="1" applyAlignment="1">
      <alignment horizontal="left" vertical="center"/>
    </xf>
    <xf numFmtId="0" fontId="41" fillId="0" borderId="0" xfId="917" applyFont="1"/>
    <xf numFmtId="0" fontId="40" fillId="0" borderId="0" xfId="917" applyFont="1"/>
    <xf numFmtId="0" fontId="55" fillId="0" borderId="13" xfId="917" applyFont="1" applyBorder="1" applyAlignment="1">
      <alignment horizontal="center" vertical="center"/>
    </xf>
    <xf numFmtId="0" fontId="55" fillId="0" borderId="14" xfId="917" applyFont="1" applyBorder="1" applyAlignment="1">
      <alignment horizontal="center" vertical="center"/>
    </xf>
    <xf numFmtId="0" fontId="55" fillId="0" borderId="15" xfId="917" applyFont="1" applyBorder="1" applyAlignment="1">
      <alignment horizontal="center" vertical="center"/>
    </xf>
    <xf numFmtId="0" fontId="55" fillId="0" borderId="16" xfId="917" applyFont="1" applyBorder="1" applyAlignment="1">
      <alignment horizontal="center" vertical="center"/>
    </xf>
    <xf numFmtId="0" fontId="55" fillId="4" borderId="7" xfId="917" applyFont="1" applyFill="1" applyBorder="1" applyAlignment="1">
      <alignment horizontal="center" vertical="center" wrapText="1"/>
    </xf>
    <xf numFmtId="0" fontId="56" fillId="0" borderId="0" xfId="917" applyFont="1" applyFill="1" applyBorder="1" applyAlignment="1">
      <alignment horizontal="left" vertical="center"/>
    </xf>
    <xf numFmtId="0" fontId="56" fillId="0" borderId="0" xfId="917" applyFont="1"/>
    <xf numFmtId="0" fontId="42" fillId="0" borderId="0" xfId="919"/>
    <xf numFmtId="0" fontId="52" fillId="0" borderId="0" xfId="919" applyFont="1" applyAlignment="1">
      <alignment horizontal="left" vertical="center"/>
    </xf>
    <xf numFmtId="0" fontId="53" fillId="0" borderId="0" xfId="919" applyFont="1" applyAlignment="1">
      <alignment horizontal="center" vertical="center"/>
    </xf>
    <xf numFmtId="0" fontId="54" fillId="0" borderId="0" xfId="919" applyFont="1" applyAlignment="1">
      <alignment horizontal="center" vertical="center"/>
    </xf>
    <xf numFmtId="0" fontId="52" fillId="0" borderId="0" xfId="919" applyFont="1"/>
    <xf numFmtId="0" fontId="55" fillId="4" borderId="4" xfId="919" applyFont="1" applyFill="1" applyBorder="1" applyAlignment="1">
      <alignment horizontal="center" vertical="center"/>
    </xf>
    <xf numFmtId="0" fontId="55" fillId="4" borderId="5" xfId="919" applyFont="1" applyFill="1" applyBorder="1" applyAlignment="1">
      <alignment horizontal="center" vertical="center"/>
    </xf>
    <xf numFmtId="0" fontId="55" fillId="4" borderId="6" xfId="919" applyFont="1" applyFill="1" applyBorder="1" applyAlignment="1">
      <alignment horizontal="center" vertical="center"/>
    </xf>
    <xf numFmtId="0" fontId="55" fillId="4" borderId="7" xfId="919" applyFont="1" applyFill="1" applyBorder="1" applyAlignment="1">
      <alignment horizontal="center" vertical="center"/>
    </xf>
    <xf numFmtId="0" fontId="55" fillId="0" borderId="9" xfId="919" applyFont="1" applyBorder="1" applyAlignment="1">
      <alignment horizontal="center" vertical="center"/>
    </xf>
    <xf numFmtId="0" fontId="55" fillId="0" borderId="10" xfId="919" applyFont="1" applyBorder="1" applyAlignment="1">
      <alignment horizontal="center" vertical="center"/>
    </xf>
    <xf numFmtId="0" fontId="55" fillId="0" borderId="11" xfId="919" applyFont="1" applyBorder="1" applyAlignment="1">
      <alignment horizontal="center" vertical="center"/>
    </xf>
    <xf numFmtId="0" fontId="55" fillId="0" borderId="12" xfId="919" applyFont="1" applyBorder="1" applyAlignment="1">
      <alignment horizontal="center" vertical="center"/>
    </xf>
    <xf numFmtId="0" fontId="56" fillId="0" borderId="0" xfId="919" applyFont="1" applyAlignment="1">
      <alignment horizontal="left" vertical="center"/>
    </xf>
    <xf numFmtId="0" fontId="41" fillId="0" borderId="0" xfId="919" applyFont="1"/>
    <xf numFmtId="0" fontId="40" fillId="0" borderId="0" xfId="919" applyFont="1"/>
    <xf numFmtId="0" fontId="55" fillId="0" borderId="13" xfId="919" applyFont="1" applyBorder="1" applyAlignment="1">
      <alignment horizontal="center" vertical="center"/>
    </xf>
    <xf numFmtId="0" fontId="55" fillId="0" borderId="14" xfId="919" applyFont="1" applyBorder="1" applyAlignment="1">
      <alignment horizontal="center" vertical="center"/>
    </xf>
    <xf numFmtId="0" fontId="55" fillId="0" borderId="15" xfId="919" applyFont="1" applyBorder="1" applyAlignment="1">
      <alignment horizontal="center" vertical="center"/>
    </xf>
    <xf numFmtId="0" fontId="55" fillId="0" borderId="16" xfId="919" applyFont="1" applyBorder="1" applyAlignment="1">
      <alignment horizontal="center" vertical="center"/>
    </xf>
    <xf numFmtId="0" fontId="55" fillId="4" borderId="7" xfId="919" applyFont="1" applyFill="1" applyBorder="1" applyAlignment="1">
      <alignment horizontal="center" vertical="center" wrapText="1"/>
    </xf>
    <xf numFmtId="0" fontId="56" fillId="0" borderId="0" xfId="919" applyFont="1" applyFill="1" applyBorder="1" applyAlignment="1">
      <alignment horizontal="left" vertical="center"/>
    </xf>
    <xf numFmtId="0" fontId="56" fillId="0" borderId="0" xfId="919" applyFont="1"/>
    <xf numFmtId="176" fontId="55" fillId="0" borderId="17" xfId="921" applyNumberFormat="1" applyFont="1" applyBorder="1"/>
    <xf numFmtId="176" fontId="55" fillId="0" borderId="19" xfId="921" applyNumberFormat="1" applyFont="1" applyBorder="1"/>
    <xf numFmtId="176" fontId="55" fillId="0" borderId="20" xfId="921" applyNumberFormat="1" applyFont="1" applyBorder="1"/>
    <xf numFmtId="176" fontId="55" fillId="0" borderId="21" xfId="921" applyNumberFormat="1" applyFont="1" applyBorder="1"/>
    <xf numFmtId="176" fontId="55" fillId="0" borderId="22" xfId="921" applyNumberFormat="1" applyFont="1" applyBorder="1"/>
    <xf numFmtId="176" fontId="55" fillId="0" borderId="23" xfId="921" applyNumberFormat="1" applyFont="1" applyBorder="1"/>
    <xf numFmtId="176" fontId="80" fillId="0" borderId="106" xfId="920" applyNumberFormat="1" applyFont="1" applyBorder="1"/>
    <xf numFmtId="176" fontId="80" fillId="0" borderId="107" xfId="920" applyNumberFormat="1" applyFont="1" applyBorder="1"/>
    <xf numFmtId="176" fontId="80" fillId="0" borderId="108" xfId="920" applyNumberFormat="1" applyFont="1" applyBorder="1"/>
    <xf numFmtId="176" fontId="80" fillId="0" borderId="109" xfId="920" applyNumberFormat="1" applyFont="1" applyBorder="1"/>
    <xf numFmtId="176" fontId="80" fillId="0" borderId="110" xfId="920" applyNumberFormat="1" applyFont="1" applyBorder="1"/>
    <xf numFmtId="176" fontId="80" fillId="0" borderId="111" xfId="920" applyNumberFormat="1" applyFont="1" applyBorder="1"/>
    <xf numFmtId="176" fontId="80" fillId="0" borderId="112" xfId="920" applyNumberFormat="1" applyFont="1" applyBorder="1"/>
    <xf numFmtId="176" fontId="81" fillId="0" borderId="0" xfId="0" applyNumberFormat="1" applyFont="1" applyFill="1" applyBorder="1" applyAlignment="1" applyProtection="1">
      <alignment horizontal="center" vertical="center"/>
    </xf>
    <xf numFmtId="176" fontId="81" fillId="0" borderId="0" xfId="0" applyNumberFormat="1" applyFont="1" applyFill="1" applyBorder="1" applyAlignment="1" applyProtection="1">
      <alignment horizontal="centerContinuous" vertical="center"/>
    </xf>
    <xf numFmtId="176" fontId="82" fillId="0" borderId="0" xfId="0" applyNumberFormat="1" applyFont="1" applyFill="1" applyBorder="1" applyAlignment="1" applyProtection="1">
      <alignment horizontal="center" vertical="center"/>
    </xf>
    <xf numFmtId="176" fontId="34" fillId="48" borderId="0" xfId="0" applyNumberFormat="1" applyFont="1" applyFill="1" applyAlignment="1" applyProtection="1">
      <alignment horizontal="left" vertical="center"/>
    </xf>
    <xf numFmtId="176" fontId="81" fillId="48" borderId="0" xfId="0" applyNumberFormat="1" applyFont="1" applyFill="1" applyBorder="1" applyAlignment="1" applyProtection="1">
      <alignment horizontal="center" vertical="center"/>
    </xf>
    <xf numFmtId="176" fontId="81" fillId="48" borderId="0" xfId="0" applyNumberFormat="1" applyFont="1" applyFill="1" applyAlignment="1" applyProtection="1">
      <alignment horizontal="center" vertical="center"/>
    </xf>
    <xf numFmtId="176" fontId="81" fillId="0" borderId="0" xfId="0" applyNumberFormat="1" applyFont="1" applyFill="1" applyAlignment="1" applyProtection="1">
      <alignment horizontal="center" vertical="center"/>
    </xf>
    <xf numFmtId="0" fontId="78" fillId="0" borderId="0" xfId="892"/>
    <xf numFmtId="0" fontId="83" fillId="0" borderId="0" xfId="892" applyFont="1"/>
    <xf numFmtId="0" fontId="84" fillId="0" borderId="0" xfId="892" applyFont="1"/>
    <xf numFmtId="0" fontId="60" fillId="0" borderId="0" xfId="892" applyFont="1"/>
    <xf numFmtId="0" fontId="77" fillId="0" borderId="0" xfId="892" applyFont="1" applyAlignment="1">
      <alignment horizontal="right" vertical="center"/>
    </xf>
    <xf numFmtId="0" fontId="69" fillId="0" borderId="0" xfId="892" applyFont="1"/>
    <xf numFmtId="0" fontId="80" fillId="49" borderId="25" xfId="892" applyFont="1" applyFill="1" applyBorder="1" applyAlignment="1">
      <alignment horizontal="center" vertical="center"/>
    </xf>
    <xf numFmtId="0" fontId="78" fillId="0" borderId="0" xfId="892" applyBorder="1"/>
    <xf numFmtId="0" fontId="69" fillId="0" borderId="0" xfId="892" applyFont="1" applyBorder="1"/>
    <xf numFmtId="0" fontId="60" fillId="0" borderId="0" xfId="892" applyFont="1" applyBorder="1"/>
    <xf numFmtId="0" fontId="83" fillId="0" borderId="0" xfId="892" applyFont="1" applyBorder="1"/>
    <xf numFmtId="0" fontId="84" fillId="0" borderId="0" xfId="892" applyFont="1" applyBorder="1"/>
    <xf numFmtId="0" fontId="80" fillId="49" borderId="25" xfId="892" applyFont="1" applyFill="1" applyBorder="1" applyAlignment="1">
      <alignment horizontal="center" vertical="center" wrapText="1"/>
    </xf>
    <xf numFmtId="0" fontId="78" fillId="0" borderId="0" xfId="892" applyBorder="1" applyAlignment="1">
      <alignment horizontal="center" vertical="center"/>
    </xf>
    <xf numFmtId="0" fontId="80" fillId="50" borderId="19" xfId="892" applyFont="1" applyFill="1" applyBorder="1" applyAlignment="1">
      <alignment horizontal="center" vertical="center"/>
    </xf>
    <xf numFmtId="0" fontId="80" fillId="50" borderId="19" xfId="892" applyFont="1" applyFill="1" applyBorder="1" applyAlignment="1">
      <alignment horizontal="center" vertical="center" wrapText="1"/>
    </xf>
    <xf numFmtId="176" fontId="80" fillId="0" borderId="17" xfId="904" applyNumberFormat="1" applyFont="1" applyBorder="1"/>
    <xf numFmtId="176" fontId="80" fillId="0" borderId="19" xfId="904" applyNumberFormat="1" applyFont="1" applyBorder="1"/>
    <xf numFmtId="176" fontId="80" fillId="0" borderId="20" xfId="904" applyNumberFormat="1" applyFont="1" applyBorder="1"/>
    <xf numFmtId="176" fontId="80" fillId="0" borderId="21" xfId="904" applyNumberFormat="1" applyFont="1" applyBorder="1"/>
    <xf numFmtId="176" fontId="78" fillId="0" borderId="26" xfId="904" applyNumberFormat="1" applyBorder="1"/>
    <xf numFmtId="176" fontId="78" fillId="0" borderId="27" xfId="904" applyNumberFormat="1" applyBorder="1"/>
    <xf numFmtId="176" fontId="80" fillId="0" borderId="22" xfId="904" applyNumberFormat="1" applyFont="1" applyBorder="1"/>
    <xf numFmtId="176" fontId="78" fillId="0" borderId="28" xfId="904" applyNumberFormat="1" applyBorder="1"/>
    <xf numFmtId="176" fontId="78" fillId="0" borderId="29" xfId="904" applyNumberFormat="1" applyBorder="1"/>
    <xf numFmtId="176" fontId="80" fillId="0" borderId="23" xfId="904" applyNumberFormat="1" applyFont="1" applyBorder="1"/>
    <xf numFmtId="176" fontId="78" fillId="0" borderId="30" xfId="904" applyNumberFormat="1" applyBorder="1"/>
    <xf numFmtId="176" fontId="78" fillId="0" borderId="31" xfId="904" applyNumberFormat="1" applyBorder="1"/>
    <xf numFmtId="176" fontId="80" fillId="0" borderId="106" xfId="903" applyNumberFormat="1" applyFont="1" applyBorder="1"/>
    <xf numFmtId="176" fontId="80" fillId="0" borderId="107" xfId="903" applyNumberFormat="1" applyFont="1" applyBorder="1"/>
    <xf numFmtId="176" fontId="80" fillId="0" borderId="108" xfId="903" applyNumberFormat="1" applyFont="1" applyBorder="1"/>
    <xf numFmtId="176" fontId="80" fillId="0" borderId="109" xfId="903" applyNumberFormat="1" applyFont="1" applyBorder="1"/>
    <xf numFmtId="176" fontId="80" fillId="0" borderId="110" xfId="903" applyNumberFormat="1" applyFont="1" applyBorder="1"/>
    <xf numFmtId="176" fontId="78" fillId="0" borderId="113" xfId="903" applyNumberFormat="1" applyBorder="1"/>
    <xf numFmtId="176" fontId="78" fillId="0" borderId="114" xfId="903" applyNumberFormat="1" applyBorder="1"/>
    <xf numFmtId="176" fontId="78" fillId="0" borderId="115" xfId="903" applyNumberFormat="1" applyBorder="1"/>
    <xf numFmtId="176" fontId="80" fillId="0" borderId="111" xfId="903" applyNumberFormat="1" applyFont="1" applyBorder="1"/>
    <xf numFmtId="176" fontId="78" fillId="0" borderId="117" xfId="903" applyNumberFormat="1" applyBorder="1"/>
    <xf numFmtId="176" fontId="78" fillId="0" borderId="118" xfId="903" applyNumberFormat="1" applyBorder="1"/>
    <xf numFmtId="176" fontId="80" fillId="0" borderId="112" xfId="903" applyNumberFormat="1" applyFont="1" applyBorder="1"/>
    <xf numFmtId="176" fontId="78" fillId="0" borderId="119" xfId="903" applyNumberFormat="1" applyBorder="1"/>
    <xf numFmtId="176" fontId="78" fillId="0" borderId="120" xfId="903" applyNumberFormat="1" applyBorder="1"/>
    <xf numFmtId="176" fontId="78" fillId="0" borderId="121" xfId="903" applyNumberFormat="1" applyBorder="1"/>
    <xf numFmtId="176" fontId="80" fillId="0" borderId="17" xfId="901" applyNumberFormat="1" applyFont="1" applyBorder="1"/>
    <xf numFmtId="176" fontId="80" fillId="0" borderId="19" xfId="901" applyNumberFormat="1" applyFont="1" applyBorder="1"/>
    <xf numFmtId="176" fontId="80" fillId="0" borderId="20" xfId="901" applyNumberFormat="1" applyFont="1" applyBorder="1"/>
    <xf numFmtId="176" fontId="80" fillId="0" borderId="21" xfId="901" applyNumberFormat="1" applyFont="1" applyBorder="1"/>
    <xf numFmtId="176" fontId="78" fillId="0" borderId="26" xfId="901" applyNumberFormat="1" applyBorder="1"/>
    <xf numFmtId="176" fontId="78" fillId="0" borderId="27" xfId="901" applyNumberFormat="1" applyBorder="1"/>
    <xf numFmtId="176" fontId="80" fillId="0" borderId="22" xfId="901" applyNumberFormat="1" applyFont="1" applyBorder="1"/>
    <xf numFmtId="176" fontId="78" fillId="0" borderId="28" xfId="901" applyNumberFormat="1" applyBorder="1"/>
    <xf numFmtId="176" fontId="78" fillId="0" borderId="29" xfId="901" applyNumberFormat="1" applyBorder="1"/>
    <xf numFmtId="176" fontId="80" fillId="0" borderId="23" xfId="901" applyNumberFormat="1" applyFont="1" applyBorder="1"/>
    <xf numFmtId="176" fontId="78" fillId="0" borderId="30" xfId="901" applyNumberFormat="1" applyBorder="1"/>
    <xf numFmtId="176" fontId="78" fillId="0" borderId="31" xfId="901" applyNumberFormat="1" applyBorder="1"/>
    <xf numFmtId="176" fontId="80" fillId="0" borderId="106" xfId="901" applyNumberFormat="1" applyFont="1" applyBorder="1"/>
    <xf numFmtId="176" fontId="80" fillId="0" borderId="107" xfId="901" applyNumberFormat="1" applyFont="1" applyBorder="1"/>
    <xf numFmtId="176" fontId="80" fillId="0" borderId="108" xfId="901" applyNumberFormat="1" applyFont="1" applyBorder="1"/>
    <xf numFmtId="176" fontId="80" fillId="0" borderId="109" xfId="901" applyNumberFormat="1" applyFont="1" applyBorder="1"/>
    <xf numFmtId="176" fontId="80" fillId="0" borderId="110" xfId="901" applyNumberFormat="1" applyFont="1" applyBorder="1"/>
    <xf numFmtId="176" fontId="78" fillId="0" borderId="113" xfId="901" applyNumberFormat="1" applyBorder="1"/>
    <xf numFmtId="176" fontId="78" fillId="0" borderId="114" xfId="901" applyNumberFormat="1" applyBorder="1"/>
    <xf numFmtId="176" fontId="78" fillId="0" borderId="115" xfId="901" applyNumberFormat="1" applyBorder="1"/>
    <xf numFmtId="176" fontId="80" fillId="0" borderId="111" xfId="901" applyNumberFormat="1" applyFont="1" applyBorder="1"/>
    <xf numFmtId="176" fontId="78" fillId="0" borderId="116" xfId="901" applyNumberFormat="1" applyBorder="1"/>
    <xf numFmtId="176" fontId="78" fillId="0" borderId="117" xfId="901" applyNumberFormat="1" applyBorder="1"/>
    <xf numFmtId="176" fontId="78" fillId="0" borderId="118" xfId="901" applyNumberFormat="1" applyBorder="1"/>
    <xf numFmtId="176" fontId="80" fillId="0" borderId="112" xfId="901" applyNumberFormat="1" applyFont="1" applyBorder="1"/>
    <xf numFmtId="176" fontId="78" fillId="0" borderId="119" xfId="901" applyNumberFormat="1" applyBorder="1"/>
    <xf numFmtId="176" fontId="78" fillId="0" borderId="120" xfId="901" applyNumberFormat="1" applyBorder="1"/>
    <xf numFmtId="176" fontId="78" fillId="0" borderId="121" xfId="901" applyNumberFormat="1" applyBorder="1"/>
    <xf numFmtId="176" fontId="80" fillId="0" borderId="17" xfId="897" applyNumberFormat="1" applyFont="1" applyBorder="1"/>
    <xf numFmtId="176" fontId="80" fillId="0" borderId="19" xfId="897" applyNumberFormat="1" applyFont="1" applyBorder="1"/>
    <xf numFmtId="176" fontId="80" fillId="0" borderId="20" xfId="897" applyNumberFormat="1" applyFont="1" applyBorder="1"/>
    <xf numFmtId="176" fontId="80" fillId="0" borderId="21" xfId="897" applyNumberFormat="1" applyFont="1" applyBorder="1"/>
    <xf numFmtId="176" fontId="78" fillId="0" borderId="26" xfId="897" applyNumberFormat="1" applyBorder="1"/>
    <xf numFmtId="176" fontId="78" fillId="0" borderId="27" xfId="897" applyNumberFormat="1" applyBorder="1"/>
    <xf numFmtId="176" fontId="80" fillId="0" borderId="22" xfId="897" applyNumberFormat="1" applyFont="1" applyBorder="1"/>
    <xf numFmtId="176" fontId="78" fillId="0" borderId="28" xfId="897" applyNumberFormat="1" applyBorder="1"/>
    <xf numFmtId="176" fontId="78" fillId="0" borderId="29" xfId="897" applyNumberFormat="1" applyBorder="1"/>
    <xf numFmtId="176" fontId="80" fillId="0" borderId="23" xfId="897" applyNumberFormat="1" applyFont="1" applyBorder="1"/>
    <xf numFmtId="176" fontId="78" fillId="0" borderId="30" xfId="897" applyNumberFormat="1" applyBorder="1"/>
    <xf numFmtId="176" fontId="78" fillId="0" borderId="31" xfId="897" applyNumberFormat="1" applyBorder="1"/>
    <xf numFmtId="176" fontId="80" fillId="0" borderId="106" xfId="897" applyNumberFormat="1" applyFont="1" applyBorder="1"/>
    <xf numFmtId="176" fontId="80" fillId="0" borderId="107" xfId="897" applyNumberFormat="1" applyFont="1" applyBorder="1"/>
    <xf numFmtId="176" fontId="80" fillId="0" borderId="108" xfId="897" applyNumberFormat="1" applyFont="1" applyBorder="1"/>
    <xf numFmtId="176" fontId="80" fillId="0" borderId="109" xfId="897" applyNumberFormat="1" applyFont="1" applyBorder="1"/>
    <xf numFmtId="176" fontId="80" fillId="0" borderId="110" xfId="897" applyNumberFormat="1" applyFont="1" applyBorder="1"/>
    <xf numFmtId="176" fontId="78" fillId="0" borderId="113" xfId="897" applyNumberFormat="1" applyBorder="1"/>
    <xf numFmtId="176" fontId="78" fillId="0" borderId="114" xfId="897" applyNumberFormat="1" applyBorder="1"/>
    <xf numFmtId="176" fontId="78" fillId="0" borderId="115" xfId="897" applyNumberFormat="1" applyBorder="1"/>
    <xf numFmtId="176" fontId="80" fillId="0" borderId="111" xfId="897" applyNumberFormat="1" applyFont="1" applyBorder="1"/>
    <xf numFmtId="176" fontId="78" fillId="0" borderId="116" xfId="897" applyNumberFormat="1" applyBorder="1"/>
    <xf numFmtId="176" fontId="78" fillId="0" borderId="117" xfId="897" applyNumberFormat="1" applyBorder="1"/>
    <xf numFmtId="176" fontId="78" fillId="0" borderId="118" xfId="897" applyNumberFormat="1" applyBorder="1"/>
    <xf numFmtId="176" fontId="80" fillId="0" borderId="112" xfId="897" applyNumberFormat="1" applyFont="1" applyBorder="1"/>
    <xf numFmtId="176" fontId="78" fillId="0" borderId="119" xfId="897" applyNumberFormat="1" applyBorder="1"/>
    <xf numFmtId="176" fontId="78" fillId="0" borderId="120" xfId="897" applyNumberFormat="1" applyBorder="1"/>
    <xf numFmtId="176" fontId="78" fillId="0" borderId="121" xfId="897" applyNumberFormat="1" applyBorder="1"/>
    <xf numFmtId="176" fontId="80" fillId="0" borderId="17" xfId="910" applyNumberFormat="1" applyFont="1" applyBorder="1"/>
    <xf numFmtId="176" fontId="80" fillId="0" borderId="19" xfId="910" applyNumberFormat="1" applyFont="1" applyBorder="1"/>
    <xf numFmtId="176" fontId="80" fillId="0" borderId="20" xfId="910" applyNumberFormat="1" applyFont="1" applyBorder="1"/>
    <xf numFmtId="176" fontId="80" fillId="0" borderId="21" xfId="910" applyNumberFormat="1" applyFont="1" applyBorder="1"/>
    <xf numFmtId="176" fontId="78" fillId="0" borderId="26" xfId="910" applyNumberFormat="1" applyBorder="1"/>
    <xf numFmtId="176" fontId="78" fillId="0" borderId="27" xfId="910" applyNumberFormat="1" applyBorder="1"/>
    <xf numFmtId="176" fontId="80" fillId="0" borderId="22" xfId="910" applyNumberFormat="1" applyFont="1" applyBorder="1"/>
    <xf numFmtId="176" fontId="78" fillId="0" borderId="28" xfId="910" applyNumberFormat="1" applyBorder="1"/>
    <xf numFmtId="176" fontId="78" fillId="0" borderId="29" xfId="910" applyNumberFormat="1" applyBorder="1"/>
    <xf numFmtId="176" fontId="80" fillId="0" borderId="23" xfId="910" applyNumberFormat="1" applyFont="1" applyBorder="1"/>
    <xf numFmtId="176" fontId="78" fillId="0" borderId="30" xfId="910" applyNumberFormat="1" applyBorder="1"/>
    <xf numFmtId="176" fontId="78" fillId="0" borderId="31" xfId="910" applyNumberFormat="1" applyBorder="1"/>
    <xf numFmtId="176" fontId="80" fillId="0" borderId="106" xfId="910" applyNumberFormat="1" applyFont="1" applyBorder="1"/>
    <xf numFmtId="176" fontId="80" fillId="0" borderId="107" xfId="910" applyNumberFormat="1" applyFont="1" applyBorder="1"/>
    <xf numFmtId="176" fontId="80" fillId="0" borderId="108" xfId="910" applyNumberFormat="1" applyFont="1" applyBorder="1"/>
    <xf numFmtId="176" fontId="80" fillId="0" borderId="109" xfId="910" applyNumberFormat="1" applyFont="1" applyBorder="1"/>
    <xf numFmtId="176" fontId="80" fillId="0" borderId="110" xfId="910" applyNumberFormat="1" applyFont="1" applyBorder="1"/>
    <xf numFmtId="176" fontId="78" fillId="0" borderId="113" xfId="910" applyNumberFormat="1" applyBorder="1"/>
    <xf numFmtId="176" fontId="78" fillId="0" borderId="114" xfId="910" applyNumberFormat="1" applyBorder="1"/>
    <xf numFmtId="176" fontId="78" fillId="0" borderId="115" xfId="910" applyNumberFormat="1" applyBorder="1"/>
    <xf numFmtId="176" fontId="80" fillId="0" borderId="111" xfId="910" applyNumberFormat="1" applyFont="1" applyBorder="1"/>
    <xf numFmtId="176" fontId="78" fillId="0" borderId="116" xfId="910" applyNumberFormat="1" applyBorder="1"/>
    <xf numFmtId="176" fontId="78" fillId="0" borderId="117" xfId="910" applyNumberFormat="1" applyBorder="1"/>
    <xf numFmtId="176" fontId="78" fillId="0" borderId="118" xfId="910" applyNumberFormat="1" applyBorder="1"/>
    <xf numFmtId="176" fontId="80" fillId="0" borderId="112" xfId="910" applyNumberFormat="1" applyFont="1" applyBorder="1"/>
    <xf numFmtId="176" fontId="78" fillId="0" borderId="119" xfId="910" applyNumberFormat="1" applyBorder="1"/>
    <xf numFmtId="176" fontId="78" fillId="0" borderId="120" xfId="910" applyNumberFormat="1" applyBorder="1"/>
    <xf numFmtId="176" fontId="78" fillId="0" borderId="121" xfId="910" applyNumberFormat="1" applyBorder="1"/>
    <xf numFmtId="176" fontId="80" fillId="0" borderId="17" xfId="895" applyNumberFormat="1" applyFont="1" applyBorder="1"/>
    <xf numFmtId="176" fontId="80" fillId="0" borderId="19" xfId="895" applyNumberFormat="1" applyFont="1" applyBorder="1"/>
    <xf numFmtId="176" fontId="80" fillId="0" borderId="20" xfId="895" applyNumberFormat="1" applyFont="1" applyBorder="1"/>
    <xf numFmtId="176" fontId="80" fillId="0" borderId="21" xfId="895" applyNumberFormat="1" applyFont="1" applyBorder="1"/>
    <xf numFmtId="176" fontId="78" fillId="0" borderId="26" xfId="895" applyNumberFormat="1" applyBorder="1"/>
    <xf numFmtId="176" fontId="78" fillId="0" borderId="27" xfId="895" applyNumberFormat="1" applyBorder="1"/>
    <xf numFmtId="176" fontId="80" fillId="0" borderId="22" xfId="895" applyNumberFormat="1" applyFont="1" applyBorder="1"/>
    <xf numFmtId="176" fontId="78" fillId="0" borderId="28" xfId="895" applyNumberFormat="1" applyBorder="1"/>
    <xf numFmtId="176" fontId="78" fillId="0" borderId="29" xfId="895" applyNumberFormat="1" applyBorder="1"/>
    <xf numFmtId="176" fontId="80" fillId="0" borderId="23" xfId="895" applyNumberFormat="1" applyFont="1" applyBorder="1"/>
    <xf numFmtId="176" fontId="78" fillId="0" borderId="30" xfId="895" applyNumberFormat="1" applyBorder="1"/>
    <xf numFmtId="176" fontId="78" fillId="0" borderId="31" xfId="895" applyNumberFormat="1" applyBorder="1"/>
    <xf numFmtId="176" fontId="80" fillId="0" borderId="106" xfId="895" applyNumberFormat="1" applyFont="1" applyBorder="1"/>
    <xf numFmtId="176" fontId="80" fillId="0" borderId="107" xfId="895" applyNumberFormat="1" applyFont="1" applyBorder="1"/>
    <xf numFmtId="176" fontId="80" fillId="0" borderId="108" xfId="895" applyNumberFormat="1" applyFont="1" applyBorder="1"/>
    <xf numFmtId="176" fontId="80" fillId="0" borderId="109" xfId="895" applyNumberFormat="1" applyFont="1" applyBorder="1"/>
    <xf numFmtId="176" fontId="80" fillId="0" borderId="110" xfId="895" applyNumberFormat="1" applyFont="1" applyBorder="1"/>
    <xf numFmtId="176" fontId="78" fillId="0" borderId="113" xfId="895" applyNumberFormat="1" applyBorder="1"/>
    <xf numFmtId="176" fontId="78" fillId="0" borderId="114" xfId="895" applyNumberFormat="1" applyBorder="1"/>
    <xf numFmtId="176" fontId="78" fillId="0" borderId="115" xfId="895" applyNumberFormat="1" applyBorder="1"/>
    <xf numFmtId="176" fontId="80" fillId="0" borderId="111" xfId="895" applyNumberFormat="1" applyFont="1" applyBorder="1"/>
    <xf numFmtId="176" fontId="78" fillId="0" borderId="116" xfId="895" applyNumberFormat="1" applyBorder="1"/>
    <xf numFmtId="176" fontId="78" fillId="0" borderId="117" xfId="895" applyNumberFormat="1" applyBorder="1"/>
    <xf numFmtId="176" fontId="78" fillId="0" borderId="118" xfId="895" applyNumberFormat="1" applyBorder="1"/>
    <xf numFmtId="176" fontId="80" fillId="0" borderId="112" xfId="895" applyNumberFormat="1" applyFont="1" applyBorder="1"/>
    <xf numFmtId="176" fontId="78" fillId="0" borderId="119" xfId="895" applyNumberFormat="1" applyBorder="1"/>
    <xf numFmtId="176" fontId="78" fillId="0" borderId="120" xfId="895" applyNumberFormat="1" applyBorder="1"/>
    <xf numFmtId="176" fontId="78" fillId="0" borderId="121" xfId="895" applyNumberFormat="1" applyBorder="1"/>
    <xf numFmtId="176" fontId="80" fillId="0" borderId="17" xfId="899" applyNumberFormat="1" applyFont="1" applyBorder="1"/>
    <xf numFmtId="176" fontId="80" fillId="0" borderId="19" xfId="899" applyNumberFormat="1" applyFont="1" applyBorder="1"/>
    <xf numFmtId="176" fontId="80" fillId="0" borderId="20" xfId="899" applyNumberFormat="1" applyFont="1" applyBorder="1"/>
    <xf numFmtId="176" fontId="80" fillId="0" borderId="21" xfId="899" applyNumberFormat="1" applyFont="1" applyBorder="1"/>
    <xf numFmtId="176" fontId="78" fillId="0" borderId="26" xfId="899" applyNumberFormat="1" applyBorder="1"/>
    <xf numFmtId="176" fontId="78" fillId="0" borderId="27" xfId="899" applyNumberFormat="1" applyBorder="1"/>
    <xf numFmtId="176" fontId="80" fillId="0" borderId="22" xfId="899" applyNumberFormat="1" applyFont="1" applyBorder="1"/>
    <xf numFmtId="176" fontId="78" fillId="0" borderId="28" xfId="899" applyNumberFormat="1" applyBorder="1"/>
    <xf numFmtId="176" fontId="78" fillId="0" borderId="29" xfId="899" applyNumberFormat="1" applyBorder="1"/>
    <xf numFmtId="176" fontId="80" fillId="0" borderId="23" xfId="899" applyNumberFormat="1" applyFont="1" applyBorder="1"/>
    <xf numFmtId="176" fontId="78" fillId="0" borderId="30" xfId="899" applyNumberFormat="1" applyBorder="1"/>
    <xf numFmtId="176" fontId="78" fillId="0" borderId="31" xfId="899" applyNumberFormat="1" applyBorder="1"/>
    <xf numFmtId="176" fontId="80" fillId="0" borderId="106" xfId="899" applyNumberFormat="1" applyFont="1" applyBorder="1"/>
    <xf numFmtId="176" fontId="80" fillId="0" borderId="107" xfId="899" applyNumberFormat="1" applyFont="1" applyBorder="1"/>
    <xf numFmtId="176" fontId="80" fillId="0" borderId="108" xfId="899" applyNumberFormat="1" applyFont="1" applyBorder="1"/>
    <xf numFmtId="176" fontId="80" fillId="0" borderId="109" xfId="899" applyNumberFormat="1" applyFont="1" applyBorder="1"/>
    <xf numFmtId="176" fontId="80" fillId="0" borderId="110" xfId="899" applyNumberFormat="1" applyFont="1" applyBorder="1"/>
    <xf numFmtId="176" fontId="78" fillId="0" borderId="113" xfId="899" applyNumberFormat="1" applyBorder="1"/>
    <xf numFmtId="176" fontId="78" fillId="0" borderId="114" xfId="899" applyNumberFormat="1" applyBorder="1"/>
    <xf numFmtId="176" fontId="78" fillId="0" borderId="115" xfId="899" applyNumberFormat="1" applyBorder="1"/>
    <xf numFmtId="176" fontId="80" fillId="0" borderId="111" xfId="899" applyNumberFormat="1" applyFont="1" applyBorder="1"/>
    <xf numFmtId="176" fontId="78" fillId="0" borderId="116" xfId="899" applyNumberFormat="1" applyBorder="1"/>
    <xf numFmtId="176" fontId="78" fillId="0" borderId="117" xfId="899" applyNumberFormat="1" applyBorder="1"/>
    <xf numFmtId="176" fontId="78" fillId="0" borderId="118" xfId="899" applyNumberFormat="1" applyBorder="1"/>
    <xf numFmtId="176" fontId="80" fillId="0" borderId="112" xfId="899" applyNumberFormat="1" applyFont="1" applyBorder="1"/>
    <xf numFmtId="176" fontId="78" fillId="0" borderId="119" xfId="899" applyNumberFormat="1" applyBorder="1"/>
    <xf numFmtId="176" fontId="78" fillId="0" borderId="120" xfId="899" applyNumberFormat="1" applyBorder="1"/>
    <xf numFmtId="176" fontId="78" fillId="0" borderId="121" xfId="899" applyNumberFormat="1" applyBorder="1"/>
    <xf numFmtId="176" fontId="80" fillId="0" borderId="17" xfId="908" applyNumberFormat="1" applyFont="1" applyBorder="1"/>
    <xf numFmtId="176" fontId="80" fillId="0" borderId="19" xfId="908" applyNumberFormat="1" applyFont="1" applyBorder="1"/>
    <xf numFmtId="176" fontId="80" fillId="0" borderId="20" xfId="908" applyNumberFormat="1" applyFont="1" applyBorder="1"/>
    <xf numFmtId="176" fontId="80" fillId="0" borderId="21" xfId="908" applyNumberFormat="1" applyFont="1" applyBorder="1"/>
    <xf numFmtId="176" fontId="78" fillId="0" borderId="26" xfId="908" applyNumberFormat="1" applyBorder="1"/>
    <xf numFmtId="176" fontId="78" fillId="0" borderId="27" xfId="908" applyNumberFormat="1" applyBorder="1"/>
    <xf numFmtId="176" fontId="80" fillId="0" borderId="22" xfId="908" applyNumberFormat="1" applyFont="1" applyBorder="1"/>
    <xf numFmtId="176" fontId="78" fillId="0" borderId="28" xfId="908" applyNumberFormat="1" applyBorder="1"/>
    <xf numFmtId="176" fontId="78" fillId="0" borderId="29" xfId="908" applyNumberFormat="1" applyBorder="1"/>
    <xf numFmtId="176" fontId="80" fillId="0" borderId="23" xfId="908" applyNumberFormat="1" applyFont="1" applyBorder="1"/>
    <xf numFmtId="176" fontId="78" fillId="0" borderId="30" xfId="908" applyNumberFormat="1" applyBorder="1"/>
    <xf numFmtId="176" fontId="78" fillId="0" borderId="31" xfId="908" applyNumberFormat="1" applyBorder="1"/>
    <xf numFmtId="176" fontId="80" fillId="0" borderId="106" xfId="908" applyNumberFormat="1" applyFont="1" applyBorder="1"/>
    <xf numFmtId="176" fontId="80" fillId="0" borderId="107" xfId="908" applyNumberFormat="1" applyFont="1" applyBorder="1"/>
    <xf numFmtId="176" fontId="80" fillId="0" borderId="108" xfId="908" applyNumberFormat="1" applyFont="1" applyBorder="1"/>
    <xf numFmtId="176" fontId="80" fillId="0" borderId="109" xfId="908" applyNumberFormat="1" applyFont="1" applyBorder="1"/>
    <xf numFmtId="176" fontId="80" fillId="0" borderId="110" xfId="908" applyNumberFormat="1" applyFont="1" applyBorder="1"/>
    <xf numFmtId="176" fontId="78" fillId="0" borderId="113" xfId="908" applyNumberFormat="1" applyBorder="1"/>
    <xf numFmtId="176" fontId="78" fillId="0" borderId="114" xfId="908" applyNumberFormat="1" applyBorder="1"/>
    <xf numFmtId="176" fontId="78" fillId="0" borderId="115" xfId="908" applyNumberFormat="1" applyBorder="1"/>
    <xf numFmtId="176" fontId="80" fillId="0" borderId="111" xfId="908" applyNumberFormat="1" applyFont="1" applyBorder="1"/>
    <xf numFmtId="176" fontId="78" fillId="0" borderId="116" xfId="908" applyNumberFormat="1" applyBorder="1"/>
    <xf numFmtId="176" fontId="78" fillId="0" borderId="117" xfId="908" applyNumberFormat="1" applyBorder="1"/>
    <xf numFmtId="176" fontId="78" fillId="0" borderId="118" xfId="908" applyNumberFormat="1" applyBorder="1"/>
    <xf numFmtId="176" fontId="80" fillId="0" borderId="112" xfId="908" applyNumberFormat="1" applyFont="1" applyBorder="1"/>
    <xf numFmtId="176" fontId="78" fillId="0" borderId="119" xfId="908" applyNumberFormat="1" applyBorder="1"/>
    <xf numFmtId="176" fontId="78" fillId="0" borderId="120" xfId="908" applyNumberFormat="1" applyBorder="1"/>
    <xf numFmtId="176" fontId="78" fillId="0" borderId="121" xfId="908" applyNumberFormat="1" applyBorder="1"/>
    <xf numFmtId="176" fontId="80" fillId="0" borderId="17" xfId="906" applyNumberFormat="1" applyFont="1" applyBorder="1"/>
    <xf numFmtId="176" fontId="80" fillId="0" borderId="19" xfId="906" applyNumberFormat="1" applyFont="1" applyBorder="1"/>
    <xf numFmtId="176" fontId="80" fillId="0" borderId="20" xfId="906" applyNumberFormat="1" applyFont="1" applyBorder="1"/>
    <xf numFmtId="176" fontId="80" fillId="0" borderId="21" xfId="906" applyNumberFormat="1" applyFont="1" applyBorder="1"/>
    <xf numFmtId="176" fontId="78" fillId="0" borderId="26" xfId="906" applyNumberFormat="1" applyBorder="1"/>
    <xf numFmtId="176" fontId="78" fillId="0" borderId="27" xfId="906" applyNumberFormat="1" applyBorder="1"/>
    <xf numFmtId="176" fontId="80" fillId="0" borderId="22" xfId="906" applyNumberFormat="1" applyFont="1" applyBorder="1"/>
    <xf numFmtId="176" fontId="78" fillId="0" borderId="28" xfId="906" applyNumberFormat="1" applyBorder="1"/>
    <xf numFmtId="176" fontId="78" fillId="0" borderId="29" xfId="906" applyNumberFormat="1" applyBorder="1"/>
    <xf numFmtId="176" fontId="80" fillId="0" borderId="23" xfId="906" applyNumberFormat="1" applyFont="1" applyBorder="1"/>
    <xf numFmtId="176" fontId="78" fillId="0" borderId="30" xfId="906" applyNumberFormat="1" applyBorder="1"/>
    <xf numFmtId="176" fontId="78" fillId="0" borderId="31" xfId="906" applyNumberFormat="1" applyBorder="1"/>
    <xf numFmtId="176" fontId="80" fillId="0" borderId="106" xfId="906" applyNumberFormat="1" applyFont="1" applyBorder="1"/>
    <xf numFmtId="176" fontId="80" fillId="0" borderId="107" xfId="906" applyNumberFormat="1" applyFont="1" applyBorder="1"/>
    <xf numFmtId="176" fontId="80" fillId="0" borderId="108" xfId="906" applyNumberFormat="1" applyFont="1" applyBorder="1"/>
    <xf numFmtId="176" fontId="80" fillId="0" borderId="109" xfId="906" applyNumberFormat="1" applyFont="1" applyBorder="1"/>
    <xf numFmtId="176" fontId="80" fillId="0" borderId="110" xfId="906" applyNumberFormat="1" applyFont="1" applyBorder="1"/>
    <xf numFmtId="176" fontId="78" fillId="0" borderId="113" xfId="906" applyNumberFormat="1" applyBorder="1"/>
    <xf numFmtId="176" fontId="78" fillId="0" borderId="114" xfId="906" applyNumberFormat="1" applyBorder="1"/>
    <xf numFmtId="176" fontId="78" fillId="0" borderId="115" xfId="906" applyNumberFormat="1" applyBorder="1"/>
    <xf numFmtId="176" fontId="80" fillId="0" borderId="111" xfId="906" applyNumberFormat="1" applyFont="1" applyBorder="1"/>
    <xf numFmtId="176" fontId="78" fillId="0" borderId="116" xfId="906" applyNumberFormat="1" applyBorder="1"/>
    <xf numFmtId="176" fontId="78" fillId="0" borderId="117" xfId="906" applyNumberFormat="1" applyBorder="1"/>
    <xf numFmtId="176" fontId="78" fillId="0" borderId="118" xfId="906" applyNumberFormat="1" applyBorder="1"/>
    <xf numFmtId="176" fontId="80" fillId="0" borderId="112" xfId="906" applyNumberFormat="1" applyFont="1" applyBorder="1"/>
    <xf numFmtId="176" fontId="78" fillId="0" borderId="119" xfId="906" applyNumberFormat="1" applyBorder="1"/>
    <xf numFmtId="176" fontId="78" fillId="0" borderId="120" xfId="906" applyNumberFormat="1" applyBorder="1"/>
    <xf numFmtId="176" fontId="78" fillId="0" borderId="121" xfId="906" applyNumberFormat="1" applyBorder="1"/>
    <xf numFmtId="176" fontId="80" fillId="0" borderId="106" xfId="887" applyNumberFormat="1" applyFont="1" applyBorder="1"/>
    <xf numFmtId="176" fontId="80" fillId="0" borderId="107" xfId="887" applyNumberFormat="1" applyFont="1" applyBorder="1"/>
    <xf numFmtId="176" fontId="80" fillId="0" borderId="108" xfId="887" applyNumberFormat="1" applyFont="1" applyBorder="1"/>
    <xf numFmtId="176" fontId="80" fillId="0" borderId="110" xfId="887" applyNumberFormat="1" applyFont="1" applyBorder="1"/>
    <xf numFmtId="176" fontId="78" fillId="0" borderId="113" xfId="887" applyNumberFormat="1" applyBorder="1"/>
    <xf numFmtId="176" fontId="78" fillId="0" borderId="114" xfId="887" applyNumberFormat="1" applyBorder="1"/>
    <xf numFmtId="176" fontId="80" fillId="0" borderId="111" xfId="887" applyNumberFormat="1" applyFont="1" applyBorder="1"/>
    <xf numFmtId="176" fontId="78" fillId="0" borderId="116" xfId="887" applyNumberFormat="1" applyBorder="1"/>
    <xf numFmtId="176" fontId="78" fillId="0" borderId="117" xfId="887" applyNumberFormat="1" applyBorder="1"/>
    <xf numFmtId="176" fontId="80" fillId="0" borderId="112" xfId="887" applyNumberFormat="1" applyFont="1" applyBorder="1"/>
    <xf numFmtId="176" fontId="78" fillId="0" borderId="119" xfId="887" applyNumberFormat="1" applyBorder="1"/>
    <xf numFmtId="176" fontId="78" fillId="0" borderId="120" xfId="887" applyNumberFormat="1" applyBorder="1"/>
    <xf numFmtId="176" fontId="80" fillId="0" borderId="17" xfId="926" applyNumberFormat="1" applyFont="1" applyBorder="1"/>
    <xf numFmtId="176" fontId="80" fillId="0" borderId="19" xfId="926" applyNumberFormat="1" applyFont="1" applyBorder="1"/>
    <xf numFmtId="176" fontId="80" fillId="0" borderId="20" xfId="926" applyNumberFormat="1" applyFont="1" applyBorder="1"/>
    <xf numFmtId="176" fontId="80" fillId="0" borderId="21" xfId="926" applyNumberFormat="1" applyFont="1" applyBorder="1"/>
    <xf numFmtId="176" fontId="78" fillId="0" borderId="26" xfId="926" applyNumberFormat="1" applyBorder="1"/>
    <xf numFmtId="176" fontId="78" fillId="0" borderId="27" xfId="926" applyNumberFormat="1" applyBorder="1"/>
    <xf numFmtId="176" fontId="80" fillId="0" borderId="22" xfId="926" applyNumberFormat="1" applyFont="1" applyBorder="1"/>
    <xf numFmtId="176" fontId="78" fillId="0" borderId="28" xfId="926" applyNumberFormat="1" applyBorder="1"/>
    <xf numFmtId="176" fontId="78" fillId="0" borderId="29" xfId="926" applyNumberFormat="1" applyBorder="1"/>
    <xf numFmtId="176" fontId="80" fillId="0" borderId="23" xfId="926" applyNumberFormat="1" applyFont="1" applyBorder="1"/>
    <xf numFmtId="176" fontId="78" fillId="0" borderId="30" xfId="926" applyNumberFormat="1" applyBorder="1"/>
    <xf numFmtId="176" fontId="78" fillId="0" borderId="31" xfId="926" applyNumberFormat="1" applyBorder="1"/>
    <xf numFmtId="176" fontId="80" fillId="0" borderId="106" xfId="926" applyNumberFormat="1" applyFont="1" applyBorder="1"/>
    <xf numFmtId="176" fontId="80" fillId="0" borderId="107" xfId="926" applyNumberFormat="1" applyFont="1" applyBorder="1"/>
    <xf numFmtId="176" fontId="80" fillId="0" borderId="108" xfId="926" applyNumberFormat="1" applyFont="1" applyBorder="1"/>
    <xf numFmtId="176" fontId="80" fillId="0" borderId="109" xfId="926" applyNumberFormat="1" applyFont="1" applyBorder="1"/>
    <xf numFmtId="176" fontId="80" fillId="0" borderId="110" xfId="926" applyNumberFormat="1" applyFont="1" applyBorder="1"/>
    <xf numFmtId="176" fontId="78" fillId="0" borderId="113" xfId="926" applyNumberFormat="1" applyBorder="1"/>
    <xf numFmtId="176" fontId="78" fillId="0" borderId="114" xfId="926" applyNumberFormat="1" applyBorder="1"/>
    <xf numFmtId="176" fontId="78" fillId="0" borderId="115" xfId="926" applyNumberFormat="1" applyBorder="1"/>
    <xf numFmtId="176" fontId="80" fillId="0" borderId="111" xfId="926" applyNumberFormat="1" applyFont="1" applyBorder="1"/>
    <xf numFmtId="176" fontId="78" fillId="0" borderId="116" xfId="926" applyNumberFormat="1" applyBorder="1"/>
    <xf numFmtId="176" fontId="78" fillId="0" borderId="117" xfId="926" applyNumberFormat="1" applyBorder="1"/>
    <xf numFmtId="176" fontId="78" fillId="0" borderId="118" xfId="926" applyNumberFormat="1" applyBorder="1"/>
    <xf numFmtId="176" fontId="80" fillId="0" borderId="112" xfId="926" applyNumberFormat="1" applyFont="1" applyBorder="1"/>
    <xf numFmtId="176" fontId="78" fillId="0" borderId="119" xfId="926" applyNumberFormat="1" applyBorder="1"/>
    <xf numFmtId="176" fontId="78" fillId="0" borderId="120" xfId="926" applyNumberFormat="1" applyBorder="1"/>
    <xf numFmtId="176" fontId="78" fillId="0" borderId="121" xfId="926" applyNumberFormat="1" applyBorder="1"/>
    <xf numFmtId="176" fontId="80" fillId="0" borderId="17" xfId="924" applyNumberFormat="1" applyFont="1" applyBorder="1"/>
    <xf numFmtId="176" fontId="80" fillId="0" borderId="19" xfId="924" applyNumberFormat="1" applyFont="1" applyBorder="1"/>
    <xf numFmtId="176" fontId="80" fillId="0" borderId="20" xfId="924" applyNumberFormat="1" applyFont="1" applyBorder="1"/>
    <xf numFmtId="176" fontId="80" fillId="0" borderId="21" xfId="924" applyNumberFormat="1" applyFont="1" applyBorder="1"/>
    <xf numFmtId="176" fontId="78" fillId="0" borderId="26" xfId="924" applyNumberFormat="1" applyBorder="1"/>
    <xf numFmtId="176" fontId="78" fillId="0" borderId="27" xfId="924" applyNumberFormat="1" applyBorder="1"/>
    <xf numFmtId="176" fontId="80" fillId="0" borderId="22" xfId="924" applyNumberFormat="1" applyFont="1" applyBorder="1"/>
    <xf numFmtId="176" fontId="78" fillId="0" borderId="28" xfId="924" applyNumberFormat="1" applyBorder="1"/>
    <xf numFmtId="176" fontId="78" fillId="0" borderId="29" xfId="924" applyNumberFormat="1" applyBorder="1"/>
    <xf numFmtId="176" fontId="80" fillId="0" borderId="23" xfId="924" applyNumberFormat="1" applyFont="1" applyBorder="1"/>
    <xf numFmtId="176" fontId="78" fillId="0" borderId="30" xfId="924" applyNumberFormat="1" applyBorder="1"/>
    <xf numFmtId="176" fontId="78" fillId="0" borderId="31" xfId="924" applyNumberFormat="1" applyBorder="1"/>
    <xf numFmtId="176" fontId="80" fillId="0" borderId="106" xfId="924" applyNumberFormat="1" applyFont="1" applyBorder="1"/>
    <xf numFmtId="176" fontId="80" fillId="0" borderId="107" xfId="924" applyNumberFormat="1" applyFont="1" applyBorder="1"/>
    <xf numFmtId="176" fontId="80" fillId="0" borderId="108" xfId="924" applyNumberFormat="1" applyFont="1" applyBorder="1"/>
    <xf numFmtId="176" fontId="80" fillId="0" borderId="109" xfId="924" applyNumberFormat="1" applyFont="1" applyBorder="1"/>
    <xf numFmtId="176" fontId="80" fillId="0" borderId="110" xfId="924" applyNumberFormat="1" applyFont="1" applyBorder="1"/>
    <xf numFmtId="176" fontId="78" fillId="0" borderId="113" xfId="924" applyNumberFormat="1" applyBorder="1"/>
    <xf numFmtId="176" fontId="78" fillId="0" borderId="114" xfId="924" applyNumberFormat="1" applyBorder="1"/>
    <xf numFmtId="176" fontId="78" fillId="0" borderId="115" xfId="924" applyNumberFormat="1" applyBorder="1"/>
    <xf numFmtId="176" fontId="80" fillId="0" borderId="111" xfId="924" applyNumberFormat="1" applyFont="1" applyBorder="1"/>
    <xf numFmtId="176" fontId="78" fillId="0" borderId="116" xfId="924" applyNumberFormat="1" applyBorder="1"/>
    <xf numFmtId="176" fontId="78" fillId="0" borderId="117" xfId="924" applyNumberFormat="1" applyBorder="1"/>
    <xf numFmtId="176" fontId="78" fillId="0" borderId="118" xfId="924" applyNumberFormat="1" applyBorder="1"/>
    <xf numFmtId="176" fontId="80" fillId="0" borderId="112" xfId="924" applyNumberFormat="1" applyFont="1" applyBorder="1"/>
    <xf numFmtId="176" fontId="78" fillId="0" borderId="119" xfId="924" applyNumberFormat="1" applyBorder="1"/>
    <xf numFmtId="176" fontId="78" fillId="0" borderId="120" xfId="924" applyNumberFormat="1" applyBorder="1"/>
    <xf numFmtId="176" fontId="78" fillId="0" borderId="121" xfId="924" applyNumberFormat="1" applyBorder="1"/>
    <xf numFmtId="176" fontId="80" fillId="0" borderId="17" xfId="914" applyNumberFormat="1" applyFont="1" applyBorder="1"/>
    <xf numFmtId="176" fontId="80" fillId="0" borderId="19" xfId="914" applyNumberFormat="1" applyFont="1" applyBorder="1"/>
    <xf numFmtId="176" fontId="80" fillId="0" borderId="20" xfId="914" applyNumberFormat="1" applyFont="1" applyBorder="1"/>
    <xf numFmtId="176" fontId="80" fillId="0" borderId="21" xfId="914" applyNumberFormat="1" applyFont="1" applyBorder="1"/>
    <xf numFmtId="176" fontId="78" fillId="0" borderId="26" xfId="914" applyNumberFormat="1" applyBorder="1"/>
    <xf numFmtId="176" fontId="78" fillId="0" borderId="27" xfId="914" applyNumberFormat="1" applyBorder="1"/>
    <xf numFmtId="176" fontId="78" fillId="0" borderId="28" xfId="914" applyNumberFormat="1" applyBorder="1"/>
    <xf numFmtId="176" fontId="78" fillId="0" borderId="29" xfId="914" applyNumberFormat="1" applyBorder="1"/>
    <xf numFmtId="176" fontId="78" fillId="0" borderId="30" xfId="914" applyNumberFormat="1" applyBorder="1"/>
    <xf numFmtId="176" fontId="78" fillId="0" borderId="31" xfId="914" applyNumberFormat="1" applyBorder="1"/>
    <xf numFmtId="176" fontId="80" fillId="0" borderId="106" xfId="914" applyNumberFormat="1" applyFont="1" applyBorder="1"/>
    <xf numFmtId="176" fontId="80" fillId="0" borderId="107" xfId="914" applyNumberFormat="1" applyFont="1" applyBorder="1"/>
    <xf numFmtId="176" fontId="80" fillId="0" borderId="108" xfId="914" applyNumberFormat="1" applyFont="1" applyBorder="1"/>
    <xf numFmtId="176" fontId="80" fillId="0" borderId="109" xfId="914" applyNumberFormat="1" applyFont="1" applyBorder="1"/>
    <xf numFmtId="176" fontId="80" fillId="0" borderId="110" xfId="914" applyNumberFormat="1" applyFont="1" applyBorder="1"/>
    <xf numFmtId="176" fontId="78" fillId="0" borderId="113" xfId="914" applyNumberFormat="1" applyBorder="1"/>
    <xf numFmtId="176" fontId="78" fillId="0" borderId="114" xfId="914" applyNumberFormat="1" applyBorder="1"/>
    <xf numFmtId="176" fontId="78" fillId="0" borderId="115" xfId="914" applyNumberFormat="1" applyBorder="1"/>
    <xf numFmtId="176" fontId="80" fillId="0" borderId="111" xfId="914" applyNumberFormat="1" applyFont="1" applyBorder="1"/>
    <xf numFmtId="176" fontId="78" fillId="0" borderId="116" xfId="914" applyNumberFormat="1" applyBorder="1"/>
    <xf numFmtId="176" fontId="78" fillId="0" borderId="117" xfId="914" applyNumberFormat="1" applyBorder="1"/>
    <xf numFmtId="176" fontId="78" fillId="0" borderId="118" xfId="914" applyNumberFormat="1" applyBorder="1"/>
    <xf numFmtId="176" fontId="80" fillId="0" borderId="112" xfId="914" applyNumberFormat="1" applyFont="1" applyBorder="1"/>
    <xf numFmtId="176" fontId="78" fillId="0" borderId="119" xfId="914" applyNumberFormat="1" applyBorder="1"/>
    <xf numFmtId="176" fontId="78" fillId="0" borderId="120" xfId="914" applyNumberFormat="1" applyBorder="1"/>
    <xf numFmtId="176" fontId="78" fillId="0" borderId="121" xfId="914" applyNumberFormat="1" applyBorder="1"/>
    <xf numFmtId="176" fontId="80" fillId="0" borderId="17" xfId="912" applyNumberFormat="1" applyFont="1" applyBorder="1"/>
    <xf numFmtId="176" fontId="80" fillId="0" borderId="19" xfId="912" applyNumberFormat="1" applyFont="1" applyBorder="1"/>
    <xf numFmtId="176" fontId="80" fillId="0" borderId="20" xfId="912" applyNumberFormat="1" applyFont="1" applyBorder="1"/>
    <xf numFmtId="176" fontId="80" fillId="0" borderId="21" xfId="912" applyNumberFormat="1" applyFont="1" applyBorder="1"/>
    <xf numFmtId="176" fontId="78" fillId="0" borderId="26" xfId="912" applyNumberFormat="1" applyBorder="1"/>
    <xf numFmtId="176" fontId="78" fillId="0" borderId="27" xfId="912" applyNumberFormat="1" applyBorder="1"/>
    <xf numFmtId="176" fontId="80" fillId="0" borderId="22" xfId="912" applyNumberFormat="1" applyFont="1" applyBorder="1"/>
    <xf numFmtId="176" fontId="78" fillId="0" borderId="28" xfId="912" applyNumberFormat="1" applyBorder="1"/>
    <xf numFmtId="176" fontId="78" fillId="0" borderId="29" xfId="912" applyNumberFormat="1" applyBorder="1"/>
    <xf numFmtId="176" fontId="80" fillId="0" borderId="23" xfId="912" applyNumberFormat="1" applyFont="1" applyBorder="1"/>
    <xf numFmtId="176" fontId="78" fillId="0" borderId="30" xfId="912" applyNumberFormat="1" applyBorder="1"/>
    <xf numFmtId="176" fontId="78" fillId="0" borderId="31" xfId="912" applyNumberFormat="1" applyBorder="1"/>
    <xf numFmtId="176" fontId="80" fillId="0" borderId="106" xfId="912" applyNumberFormat="1" applyFont="1" applyBorder="1"/>
    <xf numFmtId="176" fontId="80" fillId="0" borderId="107" xfId="912" applyNumberFormat="1" applyFont="1" applyBorder="1"/>
    <xf numFmtId="176" fontId="80" fillId="0" borderId="108" xfId="912" applyNumberFormat="1" applyFont="1" applyBorder="1"/>
    <xf numFmtId="176" fontId="80" fillId="0" borderId="109" xfId="912" applyNumberFormat="1" applyFont="1" applyBorder="1"/>
    <xf numFmtId="176" fontId="80" fillId="0" borderId="110" xfId="912" applyNumberFormat="1" applyFont="1" applyBorder="1"/>
    <xf numFmtId="176" fontId="78" fillId="0" borderId="113" xfId="912" applyNumberFormat="1" applyBorder="1"/>
    <xf numFmtId="176" fontId="78" fillId="0" borderId="114" xfId="912" applyNumberFormat="1" applyBorder="1"/>
    <xf numFmtId="176" fontId="78" fillId="0" borderId="115" xfId="912" applyNumberFormat="1" applyBorder="1"/>
    <xf numFmtId="176" fontId="80" fillId="0" borderId="111" xfId="912" applyNumberFormat="1" applyFont="1" applyBorder="1"/>
    <xf numFmtId="176" fontId="78" fillId="0" borderId="116" xfId="912" applyNumberFormat="1" applyBorder="1"/>
    <xf numFmtId="176" fontId="78" fillId="0" borderId="117" xfId="912" applyNumberFormat="1" applyBorder="1"/>
    <xf numFmtId="176" fontId="78" fillId="0" borderId="118" xfId="912" applyNumberFormat="1" applyBorder="1"/>
    <xf numFmtId="176" fontId="80" fillId="0" borderId="112" xfId="912" applyNumberFormat="1" applyFont="1" applyBorder="1"/>
    <xf numFmtId="176" fontId="78" fillId="0" borderId="119" xfId="912" applyNumberFormat="1" applyBorder="1"/>
    <xf numFmtId="176" fontId="78" fillId="0" borderId="120" xfId="912" applyNumberFormat="1" applyBorder="1"/>
    <xf numFmtId="176" fontId="78" fillId="0" borderId="121" xfId="912" applyNumberFormat="1" applyBorder="1"/>
    <xf numFmtId="176" fontId="80" fillId="0" borderId="17" xfId="891" applyNumberFormat="1" applyFont="1" applyBorder="1"/>
    <xf numFmtId="176" fontId="80" fillId="0" borderId="19" xfId="891" applyNumberFormat="1" applyFont="1" applyBorder="1"/>
    <xf numFmtId="176" fontId="80" fillId="0" borderId="20" xfId="891" applyNumberFormat="1" applyFont="1" applyBorder="1"/>
    <xf numFmtId="176" fontId="80" fillId="0" borderId="21" xfId="891" applyNumberFormat="1" applyFont="1" applyBorder="1"/>
    <xf numFmtId="176" fontId="78" fillId="0" borderId="26" xfId="891" applyNumberFormat="1" applyBorder="1"/>
    <xf numFmtId="176" fontId="78" fillId="0" borderId="27" xfId="891" applyNumberFormat="1" applyBorder="1"/>
    <xf numFmtId="176" fontId="80" fillId="0" borderId="22" xfId="891" applyNumberFormat="1" applyFont="1" applyBorder="1"/>
    <xf numFmtId="176" fontId="78" fillId="0" borderId="28" xfId="891" applyNumberFormat="1" applyBorder="1"/>
    <xf numFmtId="176" fontId="78" fillId="0" borderId="29" xfId="891" applyNumberFormat="1" applyBorder="1"/>
    <xf numFmtId="176" fontId="80" fillId="0" borderId="23" xfId="891" applyNumberFormat="1" applyFont="1" applyBorder="1"/>
    <xf numFmtId="176" fontId="78" fillId="0" borderId="30" xfId="891" applyNumberFormat="1" applyBorder="1"/>
    <xf numFmtId="176" fontId="78" fillId="0" borderId="31" xfId="891" applyNumberFormat="1" applyBorder="1"/>
    <xf numFmtId="176" fontId="80" fillId="0" borderId="106" xfId="891" applyNumberFormat="1" applyFont="1" applyBorder="1"/>
    <xf numFmtId="176" fontId="80" fillId="0" borderId="107" xfId="891" applyNumberFormat="1" applyFont="1" applyBorder="1"/>
    <xf numFmtId="176" fontId="80" fillId="0" borderId="108" xfId="891" applyNumberFormat="1" applyFont="1" applyBorder="1"/>
    <xf numFmtId="176" fontId="80" fillId="0" borderId="109" xfId="891" applyNumberFormat="1" applyFont="1" applyBorder="1"/>
    <xf numFmtId="176" fontId="80" fillId="0" borderId="110" xfId="891" applyNumberFormat="1" applyFont="1" applyBorder="1"/>
    <xf numFmtId="176" fontId="78" fillId="0" borderId="113" xfId="891" applyNumberFormat="1" applyBorder="1"/>
    <xf numFmtId="176" fontId="78" fillId="0" borderId="114" xfId="891" applyNumberFormat="1" applyBorder="1"/>
    <xf numFmtId="176" fontId="78" fillId="0" borderId="115" xfId="891" applyNumberFormat="1" applyBorder="1"/>
    <xf numFmtId="176" fontId="80" fillId="0" borderId="111" xfId="891" applyNumberFormat="1" applyFont="1" applyBorder="1"/>
    <xf numFmtId="176" fontId="78" fillId="0" borderId="116" xfId="891" applyNumberFormat="1" applyBorder="1"/>
    <xf numFmtId="176" fontId="78" fillId="0" borderId="117" xfId="891" applyNumberFormat="1" applyBorder="1"/>
    <xf numFmtId="176" fontId="78" fillId="0" borderId="118" xfId="891" applyNumberFormat="1" applyBorder="1"/>
    <xf numFmtId="176" fontId="80" fillId="0" borderId="112" xfId="891" applyNumberFormat="1" applyFont="1" applyBorder="1"/>
    <xf numFmtId="176" fontId="78" fillId="0" borderId="119" xfId="891" applyNumberFormat="1" applyBorder="1"/>
    <xf numFmtId="176" fontId="78" fillId="0" borderId="120" xfId="891" applyNumberFormat="1" applyBorder="1"/>
    <xf numFmtId="176" fontId="78" fillId="0" borderId="121" xfId="891" applyNumberFormat="1" applyBorder="1"/>
    <xf numFmtId="176" fontId="80" fillId="0" borderId="17" xfId="889" applyNumberFormat="1" applyFont="1" applyBorder="1"/>
    <xf numFmtId="176" fontId="80" fillId="0" borderId="19" xfId="889" applyNumberFormat="1" applyFont="1" applyBorder="1"/>
    <xf numFmtId="176" fontId="80" fillId="0" borderId="20" xfId="889" applyNumberFormat="1" applyFont="1" applyBorder="1"/>
    <xf numFmtId="176" fontId="80" fillId="0" borderId="21" xfId="889" applyNumberFormat="1" applyFont="1" applyBorder="1"/>
    <xf numFmtId="176" fontId="78" fillId="0" borderId="26" xfId="889" applyNumberFormat="1" applyBorder="1"/>
    <xf numFmtId="176" fontId="78" fillId="0" borderId="27" xfId="889" applyNumberFormat="1" applyBorder="1"/>
    <xf numFmtId="176" fontId="80" fillId="0" borderId="22" xfId="889" applyNumberFormat="1" applyFont="1" applyBorder="1"/>
    <xf numFmtId="176" fontId="78" fillId="0" borderId="28" xfId="889" applyNumberFormat="1" applyBorder="1"/>
    <xf numFmtId="176" fontId="78" fillId="0" borderId="29" xfId="889" applyNumberFormat="1" applyBorder="1"/>
    <xf numFmtId="176" fontId="80" fillId="0" borderId="23" xfId="889" applyNumberFormat="1" applyFont="1" applyBorder="1"/>
    <xf numFmtId="176" fontId="78" fillId="0" borderId="30" xfId="889" applyNumberFormat="1" applyBorder="1"/>
    <xf numFmtId="176" fontId="78" fillId="0" borderId="31" xfId="889" applyNumberFormat="1" applyBorder="1"/>
    <xf numFmtId="176" fontId="80" fillId="0" borderId="106" xfId="889" applyNumberFormat="1" applyFont="1" applyBorder="1"/>
    <xf numFmtId="176" fontId="80" fillId="0" borderId="107" xfId="889" applyNumberFormat="1" applyFont="1" applyBorder="1"/>
    <xf numFmtId="176" fontId="80" fillId="0" borderId="108" xfId="889" applyNumberFormat="1" applyFont="1" applyBorder="1"/>
    <xf numFmtId="176" fontId="80" fillId="0" borderId="109" xfId="889" applyNumberFormat="1" applyFont="1" applyBorder="1"/>
    <xf numFmtId="176" fontId="80" fillId="0" borderId="110" xfId="889" applyNumberFormat="1" applyFont="1" applyBorder="1"/>
    <xf numFmtId="176" fontId="78" fillId="0" borderId="113" xfId="889" applyNumberFormat="1" applyBorder="1"/>
    <xf numFmtId="176" fontId="78" fillId="0" borderId="114" xfId="889" applyNumberFormat="1" applyBorder="1"/>
    <xf numFmtId="176" fontId="78" fillId="0" borderId="115" xfId="889" applyNumberFormat="1" applyBorder="1"/>
    <xf numFmtId="176" fontId="80" fillId="0" borderId="111" xfId="889" applyNumberFormat="1" applyFont="1" applyBorder="1"/>
    <xf numFmtId="176" fontId="78" fillId="0" borderId="116" xfId="889" applyNumberFormat="1" applyBorder="1"/>
    <xf numFmtId="176" fontId="78" fillId="0" borderId="117" xfId="889" applyNumberFormat="1" applyBorder="1"/>
    <xf numFmtId="176" fontId="78" fillId="0" borderId="118" xfId="889" applyNumberFormat="1" applyBorder="1"/>
    <xf numFmtId="176" fontId="80" fillId="0" borderId="112" xfId="889" applyNumberFormat="1" applyFont="1" applyBorder="1"/>
    <xf numFmtId="176" fontId="78" fillId="0" borderId="119" xfId="889" applyNumberFormat="1" applyBorder="1"/>
    <xf numFmtId="176" fontId="78" fillId="0" borderId="120" xfId="889" applyNumberFormat="1" applyBorder="1"/>
    <xf numFmtId="176" fontId="78" fillId="0" borderId="121" xfId="889" applyNumberFormat="1" applyBorder="1"/>
    <xf numFmtId="176" fontId="80" fillId="0" borderId="17" xfId="916" applyNumberFormat="1" applyFont="1" applyBorder="1"/>
    <xf numFmtId="176" fontId="80" fillId="0" borderId="19" xfId="916" applyNumberFormat="1" applyFont="1" applyBorder="1"/>
    <xf numFmtId="176" fontId="80" fillId="0" borderId="20" xfId="916" applyNumberFormat="1" applyFont="1" applyBorder="1"/>
    <xf numFmtId="176" fontId="80" fillId="0" borderId="21" xfId="916" applyNumberFormat="1" applyFont="1" applyBorder="1"/>
    <xf numFmtId="176" fontId="78" fillId="0" borderId="26" xfId="916" applyNumberFormat="1" applyBorder="1"/>
    <xf numFmtId="176" fontId="78" fillId="0" borderId="27" xfId="916" applyNumberFormat="1" applyBorder="1"/>
    <xf numFmtId="176" fontId="80" fillId="0" borderId="22" xfId="916" applyNumberFormat="1" applyFont="1" applyBorder="1"/>
    <xf numFmtId="176" fontId="78" fillId="0" borderId="28" xfId="916" applyNumberFormat="1" applyBorder="1"/>
    <xf numFmtId="176" fontId="78" fillId="0" borderId="29" xfId="916" applyNumberFormat="1" applyBorder="1"/>
    <xf numFmtId="176" fontId="80" fillId="0" borderId="23" xfId="916" applyNumberFormat="1" applyFont="1" applyBorder="1"/>
    <xf numFmtId="176" fontId="78" fillId="0" borderId="30" xfId="916" applyNumberFormat="1" applyBorder="1"/>
    <xf numFmtId="176" fontId="78" fillId="0" borderId="31" xfId="916" applyNumberFormat="1" applyBorder="1"/>
    <xf numFmtId="176" fontId="80" fillId="0" borderId="106" xfId="916" applyNumberFormat="1" applyFont="1" applyBorder="1"/>
    <xf numFmtId="176" fontId="80" fillId="0" borderId="107" xfId="916" applyNumberFormat="1" applyFont="1" applyBorder="1"/>
    <xf numFmtId="176" fontId="80" fillId="0" borderId="108" xfId="916" applyNumberFormat="1" applyFont="1" applyBorder="1"/>
    <xf numFmtId="176" fontId="80" fillId="0" borderId="109" xfId="916" applyNumberFormat="1" applyFont="1" applyBorder="1"/>
    <xf numFmtId="176" fontId="80" fillId="0" borderId="110" xfId="916" applyNumberFormat="1" applyFont="1" applyBorder="1"/>
    <xf numFmtId="176" fontId="78" fillId="0" borderId="113" xfId="916" applyNumberFormat="1" applyBorder="1"/>
    <xf numFmtId="176" fontId="78" fillId="0" borderId="114" xfId="916" applyNumberFormat="1" applyBorder="1"/>
    <xf numFmtId="176" fontId="78" fillId="0" borderId="115" xfId="916" applyNumberFormat="1" applyBorder="1"/>
    <xf numFmtId="176" fontId="80" fillId="0" borderId="111" xfId="916" applyNumberFormat="1" applyFont="1" applyBorder="1"/>
    <xf numFmtId="176" fontId="78" fillId="0" borderId="116" xfId="916" applyNumberFormat="1" applyBorder="1"/>
    <xf numFmtId="176" fontId="78" fillId="0" borderId="117" xfId="916" applyNumberFormat="1" applyBorder="1"/>
    <xf numFmtId="176" fontId="78" fillId="0" borderId="118" xfId="916" applyNumberFormat="1" applyBorder="1"/>
    <xf numFmtId="176" fontId="80" fillId="0" borderId="112" xfId="916" applyNumberFormat="1" applyFont="1" applyBorder="1"/>
    <xf numFmtId="176" fontId="78" fillId="0" borderId="119" xfId="916" applyNumberFormat="1" applyBorder="1"/>
    <xf numFmtId="176" fontId="78" fillId="0" borderId="120" xfId="916" applyNumberFormat="1" applyBorder="1"/>
    <xf numFmtId="176" fontId="78" fillId="0" borderId="121" xfId="916" applyNumberFormat="1" applyBorder="1"/>
    <xf numFmtId="176" fontId="80" fillId="0" borderId="17" xfId="928" applyNumberFormat="1" applyFont="1" applyBorder="1"/>
    <xf numFmtId="176" fontId="80" fillId="0" borderId="19" xfId="928" applyNumberFormat="1" applyFont="1" applyBorder="1"/>
    <xf numFmtId="176" fontId="80" fillId="0" borderId="20" xfId="928" applyNumberFormat="1" applyFont="1" applyBorder="1"/>
    <xf numFmtId="176" fontId="80" fillId="0" borderId="21" xfId="928" applyNumberFormat="1" applyFont="1" applyBorder="1"/>
    <xf numFmtId="176" fontId="78" fillId="0" borderId="26" xfId="928" applyNumberFormat="1" applyBorder="1"/>
    <xf numFmtId="176" fontId="78" fillId="0" borderId="27" xfId="928" applyNumberFormat="1" applyBorder="1"/>
    <xf numFmtId="176" fontId="80" fillId="0" borderId="22" xfId="928" applyNumberFormat="1" applyFont="1" applyBorder="1"/>
    <xf numFmtId="176" fontId="78" fillId="0" borderId="28" xfId="928" applyNumberFormat="1" applyBorder="1"/>
    <xf numFmtId="176" fontId="78" fillId="0" borderId="29" xfId="928" applyNumberFormat="1" applyBorder="1"/>
    <xf numFmtId="176" fontId="80" fillId="0" borderId="23" xfId="928" applyNumberFormat="1" applyFont="1" applyBorder="1"/>
    <xf numFmtId="176" fontId="78" fillId="0" borderId="30" xfId="928" applyNumberFormat="1" applyBorder="1"/>
    <xf numFmtId="176" fontId="78" fillId="0" borderId="31" xfId="928" applyNumberFormat="1" applyBorder="1"/>
    <xf numFmtId="176" fontId="80" fillId="0" borderId="106" xfId="928" applyNumberFormat="1" applyFont="1" applyBorder="1"/>
    <xf numFmtId="176" fontId="80" fillId="0" borderId="107" xfId="928" applyNumberFormat="1" applyFont="1" applyBorder="1"/>
    <xf numFmtId="176" fontId="80" fillId="0" borderId="108" xfId="928" applyNumberFormat="1" applyFont="1" applyBorder="1"/>
    <xf numFmtId="176" fontId="80" fillId="0" borderId="109" xfId="928" applyNumberFormat="1" applyFont="1" applyBorder="1"/>
    <xf numFmtId="176" fontId="80" fillId="0" borderId="110" xfId="928" applyNumberFormat="1" applyFont="1" applyBorder="1"/>
    <xf numFmtId="176" fontId="78" fillId="0" borderId="113" xfId="928" applyNumberFormat="1" applyBorder="1"/>
    <xf numFmtId="176" fontId="78" fillId="0" borderId="114" xfId="928" applyNumberFormat="1" applyBorder="1"/>
    <xf numFmtId="176" fontId="78" fillId="0" borderId="115" xfId="928" applyNumberFormat="1" applyBorder="1"/>
    <xf numFmtId="176" fontId="80" fillId="0" borderId="111" xfId="928" applyNumberFormat="1" applyFont="1" applyBorder="1"/>
    <xf numFmtId="176" fontId="78" fillId="0" borderId="116" xfId="928" applyNumberFormat="1" applyBorder="1"/>
    <xf numFmtId="176" fontId="78" fillId="0" borderId="117" xfId="928" applyNumberFormat="1" applyBorder="1"/>
    <xf numFmtId="176" fontId="78" fillId="0" borderId="118" xfId="928" applyNumberFormat="1" applyBorder="1"/>
    <xf numFmtId="176" fontId="80" fillId="0" borderId="112" xfId="928" applyNumberFormat="1" applyFont="1" applyBorder="1"/>
    <xf numFmtId="176" fontId="78" fillId="0" borderId="119" xfId="928" applyNumberFormat="1" applyBorder="1"/>
    <xf numFmtId="176" fontId="78" fillId="0" borderId="120" xfId="928" applyNumberFormat="1" applyBorder="1"/>
    <xf numFmtId="176" fontId="78" fillId="0" borderId="121" xfId="928" applyNumberFormat="1" applyBorder="1"/>
    <xf numFmtId="176" fontId="80" fillId="0" borderId="17" xfId="918" applyNumberFormat="1" applyFont="1" applyBorder="1"/>
    <xf numFmtId="176" fontId="80" fillId="0" borderId="19" xfId="918" applyNumberFormat="1" applyFont="1" applyBorder="1"/>
    <xf numFmtId="176" fontId="80" fillId="0" borderId="20" xfId="918" applyNumberFormat="1" applyFont="1" applyBorder="1"/>
    <xf numFmtId="176" fontId="80" fillId="0" borderId="21" xfId="918" applyNumberFormat="1" applyFont="1" applyBorder="1"/>
    <xf numFmtId="176" fontId="78" fillId="0" borderId="26" xfId="918" applyNumberFormat="1" applyBorder="1"/>
    <xf numFmtId="176" fontId="78" fillId="0" borderId="27" xfId="918" applyNumberFormat="1" applyBorder="1"/>
    <xf numFmtId="176" fontId="80" fillId="0" borderId="22" xfId="918" applyNumberFormat="1" applyFont="1" applyBorder="1"/>
    <xf numFmtId="176" fontId="78" fillId="0" borderId="28" xfId="918" applyNumberFormat="1" applyBorder="1"/>
    <xf numFmtId="176" fontId="78" fillId="0" borderId="29" xfId="918" applyNumberFormat="1" applyBorder="1"/>
    <xf numFmtId="176" fontId="80" fillId="0" borderId="23" xfId="918" applyNumberFormat="1" applyFont="1" applyBorder="1"/>
    <xf numFmtId="176" fontId="78" fillId="0" borderId="30" xfId="918" applyNumberFormat="1" applyBorder="1"/>
    <xf numFmtId="176" fontId="78" fillId="0" borderId="31" xfId="918" applyNumberFormat="1" applyBorder="1"/>
    <xf numFmtId="176" fontId="80" fillId="0" borderId="106" xfId="918" applyNumberFormat="1" applyFont="1" applyBorder="1"/>
    <xf numFmtId="176" fontId="80" fillId="0" borderId="107" xfId="918" applyNumberFormat="1" applyFont="1" applyBorder="1"/>
    <xf numFmtId="176" fontId="80" fillId="0" borderId="108" xfId="918" applyNumberFormat="1" applyFont="1" applyBorder="1"/>
    <xf numFmtId="176" fontId="80" fillId="0" borderId="109" xfId="918" applyNumberFormat="1" applyFont="1" applyBorder="1"/>
    <xf numFmtId="176" fontId="80" fillId="0" borderId="110" xfId="918" applyNumberFormat="1" applyFont="1" applyBorder="1"/>
    <xf numFmtId="176" fontId="78" fillId="0" borderId="113" xfId="918" applyNumberFormat="1" applyBorder="1"/>
    <xf numFmtId="176" fontId="78" fillId="0" borderId="114" xfId="918" applyNumberFormat="1" applyBorder="1"/>
    <xf numFmtId="176" fontId="78" fillId="0" borderId="115" xfId="918" applyNumberFormat="1" applyBorder="1"/>
    <xf numFmtId="176" fontId="80" fillId="0" borderId="111" xfId="918" applyNumberFormat="1" applyFont="1" applyBorder="1"/>
    <xf numFmtId="176" fontId="78" fillId="0" borderId="116" xfId="918" applyNumberFormat="1" applyBorder="1"/>
    <xf numFmtId="176" fontId="78" fillId="0" borderId="117" xfId="918" applyNumberFormat="1" applyBorder="1"/>
    <xf numFmtId="176" fontId="78" fillId="0" borderId="118" xfId="918" applyNumberFormat="1" applyBorder="1"/>
    <xf numFmtId="176" fontId="80" fillId="0" borderId="112" xfId="918" applyNumberFormat="1" applyFont="1" applyBorder="1"/>
    <xf numFmtId="176" fontId="78" fillId="0" borderId="119" xfId="918" applyNumberFormat="1" applyBorder="1"/>
    <xf numFmtId="176" fontId="78" fillId="0" borderId="120" xfId="918" applyNumberFormat="1" applyBorder="1"/>
    <xf numFmtId="176" fontId="78" fillId="0" borderId="121" xfId="918" applyNumberFormat="1" applyBorder="1"/>
    <xf numFmtId="176" fontId="77" fillId="0" borderId="35" xfId="893" applyNumberFormat="1" applyFont="1" applyBorder="1" applyAlignment="1">
      <alignment horizontal="right" vertical="center"/>
    </xf>
    <xf numFmtId="176" fontId="77" fillId="0" borderId="35" xfId="893" applyNumberFormat="1" applyFont="1" applyBorder="1"/>
    <xf numFmtId="176" fontId="77" fillId="0" borderId="36" xfId="893" applyNumberFormat="1" applyFont="1" applyBorder="1"/>
    <xf numFmtId="0" fontId="78" fillId="0" borderId="0" xfId="893"/>
    <xf numFmtId="176" fontId="80" fillId="0" borderId="35" xfId="893" applyNumberFormat="1" applyFont="1" applyBorder="1"/>
    <xf numFmtId="176" fontId="34" fillId="0" borderId="26" xfId="921" applyNumberFormat="1" applyFont="1" applyBorder="1"/>
    <xf numFmtId="176" fontId="34" fillId="0" borderId="27" xfId="921" applyNumberFormat="1" applyFont="1" applyBorder="1"/>
    <xf numFmtId="176" fontId="34" fillId="0" borderId="28" xfId="921" applyNumberFormat="1" applyFont="1" applyBorder="1"/>
    <xf numFmtId="176" fontId="34" fillId="0" borderId="30" xfId="921" applyNumberFormat="1" applyFont="1" applyBorder="1"/>
    <xf numFmtId="176" fontId="34" fillId="0" borderId="31" xfId="921" applyNumberFormat="1" applyFont="1" applyBorder="1"/>
    <xf numFmtId="176" fontId="81" fillId="0" borderId="113" xfId="920" applyNumberFormat="1" applyFont="1" applyBorder="1"/>
    <xf numFmtId="176" fontId="81" fillId="0" borderId="114" xfId="920" applyNumberFormat="1" applyFont="1" applyBorder="1"/>
    <xf numFmtId="176" fontId="81" fillId="0" borderId="115" xfId="920" applyNumberFormat="1" applyFont="1" applyBorder="1"/>
    <xf numFmtId="176" fontId="81" fillId="0" borderId="116" xfId="920" applyNumberFormat="1" applyFont="1" applyBorder="1"/>
    <xf numFmtId="176" fontId="81" fillId="0" borderId="117" xfId="920" applyNumberFormat="1" applyFont="1" applyBorder="1"/>
    <xf numFmtId="176" fontId="81" fillId="0" borderId="118" xfId="920" applyNumberFormat="1" applyFont="1" applyBorder="1"/>
    <xf numFmtId="176" fontId="81" fillId="0" borderId="119" xfId="920" applyNumberFormat="1" applyFont="1" applyBorder="1"/>
    <xf numFmtId="176" fontId="81" fillId="0" borderId="120" xfId="920" applyNumberFormat="1" applyFont="1" applyBorder="1"/>
    <xf numFmtId="176" fontId="81" fillId="0" borderId="121" xfId="920" applyNumberFormat="1" applyFont="1" applyBorder="1"/>
    <xf numFmtId="176" fontId="33" fillId="3" borderId="0" xfId="922" applyNumberFormat="1" applyFont="1" applyFill="1" applyAlignment="1" applyProtection="1">
      <alignment vertical="center"/>
    </xf>
    <xf numFmtId="176" fontId="81" fillId="49" borderId="122" xfId="0" applyNumberFormat="1" applyFont="1" applyFill="1" applyBorder="1" applyAlignment="1">
      <alignment horizontal="center" vertical="center" wrapText="1"/>
    </xf>
    <xf numFmtId="176" fontId="81" fillId="49" borderId="123" xfId="0" applyNumberFormat="1" applyFont="1" applyFill="1" applyBorder="1" applyAlignment="1">
      <alignment horizontal="center" vertical="center" wrapText="1"/>
    </xf>
    <xf numFmtId="176" fontId="81" fillId="49" borderId="123" xfId="0" applyNumberFormat="1" applyFont="1" applyFill="1" applyBorder="1" applyAlignment="1">
      <alignment horizontal="center" vertical="center"/>
    </xf>
    <xf numFmtId="176" fontId="81" fillId="49" borderId="124" xfId="0" applyNumberFormat="1" applyFont="1" applyFill="1" applyBorder="1" applyAlignment="1">
      <alignment horizontal="center" vertical="center" wrapText="1"/>
    </xf>
    <xf numFmtId="176" fontId="81" fillId="49" borderId="125" xfId="0" applyNumberFormat="1" applyFont="1" applyFill="1" applyBorder="1" applyAlignment="1">
      <alignment horizontal="center" vertical="center" wrapText="1"/>
    </xf>
    <xf numFmtId="176" fontId="81" fillId="49" borderId="126" xfId="0" applyNumberFormat="1" applyFont="1" applyFill="1" applyBorder="1" applyAlignment="1">
      <alignment horizontal="center" vertical="center" wrapText="1"/>
    </xf>
    <xf numFmtId="176" fontId="81" fillId="49" borderId="127" xfId="0" applyNumberFormat="1" applyFont="1" applyFill="1" applyBorder="1" applyAlignment="1">
      <alignment horizontal="center" vertical="center" wrapText="1"/>
    </xf>
    <xf numFmtId="176" fontId="81" fillId="0" borderId="0" xfId="0" applyNumberFormat="1" applyFont="1" applyAlignment="1">
      <alignment horizontal="center" vertical="center"/>
    </xf>
    <xf numFmtId="176" fontId="85" fillId="0" borderId="0" xfId="0" applyNumberFormat="1" applyFont="1">
      <alignment vertical="center"/>
    </xf>
    <xf numFmtId="176" fontId="86" fillId="0" borderId="0" xfId="0" applyNumberFormat="1" applyFont="1" applyAlignment="1">
      <alignment horizontal="center" vertical="center"/>
    </xf>
    <xf numFmtId="176" fontId="87" fillId="0" borderId="0" xfId="0" applyNumberFormat="1" applyFont="1">
      <alignment vertical="center"/>
    </xf>
    <xf numFmtId="176" fontId="88" fillId="0" borderId="0" xfId="0" applyNumberFormat="1" applyFont="1" applyAlignment="1">
      <alignment horizontal="center" vertical="center"/>
    </xf>
    <xf numFmtId="176" fontId="89" fillId="0" borderId="0" xfId="0" applyNumberFormat="1" applyFont="1" applyAlignment="1">
      <alignment horizontal="left" vertical="center"/>
    </xf>
    <xf numFmtId="176" fontId="89" fillId="0" borderId="0" xfId="0" applyNumberFormat="1" applyFont="1" applyAlignment="1">
      <alignment horizontal="center" vertical="center"/>
    </xf>
    <xf numFmtId="176" fontId="90" fillId="0" borderId="0" xfId="0" applyNumberFormat="1" applyFont="1" applyAlignment="1">
      <alignment horizontal="left" vertical="center"/>
    </xf>
    <xf numFmtId="176" fontId="91" fillId="0" borderId="0" xfId="0" applyNumberFormat="1" applyFont="1" applyAlignment="1">
      <alignment horizontal="centerContinuous" vertical="center"/>
    </xf>
    <xf numFmtId="176" fontId="92" fillId="0" borderId="0" xfId="0" applyNumberFormat="1" applyFont="1" applyAlignment="1">
      <alignment horizontal="centerContinuous" vertical="center"/>
    </xf>
    <xf numFmtId="176" fontId="92" fillId="0" borderId="0" xfId="0" applyNumberFormat="1" applyFont="1" applyAlignment="1">
      <alignment horizontal="center" vertical="center"/>
    </xf>
    <xf numFmtId="176" fontId="78" fillId="0" borderId="0" xfId="0" applyNumberFormat="1" applyFont="1" applyAlignment="1">
      <alignment horizontal="left" vertical="center"/>
    </xf>
    <xf numFmtId="176" fontId="81" fillId="0" borderId="0" xfId="0" applyNumberFormat="1" applyFont="1" applyAlignment="1">
      <alignment horizontal="left" vertical="center"/>
    </xf>
    <xf numFmtId="176" fontId="11" fillId="0" borderId="0" xfId="871" applyNumberFormat="1" applyFont="1" applyFill="1" applyAlignment="1" applyProtection="1">
      <alignment horizontal="left" vertical="center"/>
    </xf>
    <xf numFmtId="176" fontId="82" fillId="0" borderId="0" xfId="0" applyNumberFormat="1" applyFont="1" applyAlignment="1">
      <alignment horizontal="left" vertical="center"/>
    </xf>
    <xf numFmtId="176" fontId="81" fillId="49" borderId="39" xfId="0" applyNumberFormat="1" applyFont="1" applyFill="1" applyBorder="1" applyAlignment="1">
      <alignment horizontal="center" vertical="center"/>
    </xf>
    <xf numFmtId="176" fontId="81" fillId="49" borderId="40" xfId="0" applyNumberFormat="1" applyFont="1" applyFill="1" applyBorder="1" applyAlignment="1">
      <alignment horizontal="center" vertical="center"/>
    </xf>
    <xf numFmtId="176" fontId="81" fillId="49" borderId="41" xfId="0" applyNumberFormat="1" applyFont="1" applyFill="1" applyBorder="1" applyAlignment="1">
      <alignment horizontal="center" vertical="center"/>
    </xf>
    <xf numFmtId="176" fontId="81" fillId="49" borderId="42" xfId="0" applyNumberFormat="1" applyFont="1" applyFill="1" applyBorder="1" applyAlignment="1">
      <alignment horizontal="center" vertical="center"/>
    </xf>
    <xf numFmtId="176" fontId="81" fillId="0" borderId="43" xfId="0" applyNumberFormat="1" applyFont="1" applyFill="1" applyBorder="1" applyAlignment="1" applyProtection="1">
      <alignment horizontal="center" vertical="center"/>
    </xf>
    <xf numFmtId="176" fontId="81" fillId="0" borderId="44" xfId="0" applyNumberFormat="1" applyFont="1" applyFill="1" applyBorder="1" applyAlignment="1" applyProtection="1">
      <alignment horizontal="center" vertical="center"/>
    </xf>
    <xf numFmtId="176" fontId="81" fillId="0" borderId="45" xfId="0" applyNumberFormat="1" applyFont="1" applyFill="1" applyBorder="1" applyAlignment="1" applyProtection="1">
      <alignment horizontal="center" vertical="center"/>
    </xf>
    <xf numFmtId="176" fontId="81" fillId="0" borderId="46" xfId="0" applyNumberFormat="1" applyFont="1" applyFill="1" applyBorder="1" applyAlignment="1" applyProtection="1">
      <alignment horizontal="center" vertical="center"/>
    </xf>
    <xf numFmtId="176" fontId="81" fillId="0" borderId="129" xfId="0" applyNumberFormat="1" applyFont="1" applyFill="1" applyBorder="1" applyAlignment="1" applyProtection="1">
      <alignment horizontal="center" vertical="center"/>
    </xf>
    <xf numFmtId="176" fontId="93" fillId="0" borderId="128" xfId="0" applyNumberFormat="1" applyFont="1" applyFill="1" applyBorder="1" applyAlignment="1" applyProtection="1">
      <alignment horizontal="center" vertical="center"/>
    </xf>
    <xf numFmtId="176" fontId="82" fillId="0" borderId="0" xfId="0" applyNumberFormat="1" applyFont="1" applyAlignment="1">
      <alignment horizontal="center" vertical="center"/>
    </xf>
    <xf numFmtId="176" fontId="81" fillId="0" borderId="47" xfId="0" applyNumberFormat="1" applyFont="1" applyFill="1" applyBorder="1" applyAlignment="1" applyProtection="1">
      <alignment horizontal="center" vertical="center"/>
    </xf>
    <xf numFmtId="176" fontId="81" fillId="0" borderId="130" xfId="0" applyNumberFormat="1" applyFont="1" applyFill="1" applyBorder="1" applyAlignment="1" applyProtection="1">
      <alignment horizontal="center" vertical="center"/>
    </xf>
    <xf numFmtId="176" fontId="34" fillId="48" borderId="0" xfId="0" applyNumberFormat="1" applyFont="1" applyFill="1" applyAlignment="1">
      <alignment horizontal="left" vertical="center"/>
    </xf>
    <xf numFmtId="176" fontId="81" fillId="48" borderId="0" xfId="0" applyNumberFormat="1" applyFont="1" applyFill="1" applyAlignment="1">
      <alignment horizontal="center" vertical="center"/>
    </xf>
    <xf numFmtId="176" fontId="94" fillId="0" borderId="131" xfId="0" applyNumberFormat="1" applyFont="1" applyBorder="1" applyAlignment="1">
      <alignment horizontal="center" vertical="center" wrapText="1"/>
    </xf>
    <xf numFmtId="3" fontId="95" fillId="0" borderId="132" xfId="0" applyNumberFormat="1" applyFont="1" applyBorder="1" applyAlignment="1">
      <alignment vertical="center" wrapText="1"/>
    </xf>
    <xf numFmtId="3" fontId="95" fillId="0" borderId="133" xfId="0" applyNumberFormat="1" applyFont="1" applyBorder="1" applyAlignment="1">
      <alignment vertical="center" wrapText="1"/>
    </xf>
    <xf numFmtId="3" fontId="95" fillId="0" borderId="134" xfId="0" applyNumberFormat="1" applyFont="1" applyBorder="1" applyAlignment="1">
      <alignment vertical="center" wrapText="1"/>
    </xf>
    <xf numFmtId="0" fontId="94" fillId="0" borderId="0" xfId="0" applyFont="1" applyAlignment="1">
      <alignment vertical="center" wrapText="1"/>
    </xf>
    <xf numFmtId="0" fontId="95" fillId="49" borderId="135" xfId="0" applyFont="1" applyFill="1" applyBorder="1" applyAlignment="1">
      <alignment horizontal="center" vertical="center" wrapText="1"/>
    </xf>
    <xf numFmtId="3" fontId="95" fillId="0" borderId="136" xfId="0" applyNumberFormat="1" applyFont="1" applyBorder="1" applyAlignment="1">
      <alignment vertical="center" wrapText="1"/>
    </xf>
    <xf numFmtId="3" fontId="95" fillId="0" borderId="137" xfId="0" applyNumberFormat="1" applyFont="1" applyBorder="1" applyAlignment="1">
      <alignment vertical="center" wrapText="1"/>
    </xf>
    <xf numFmtId="3" fontId="95" fillId="0" borderId="138" xfId="0" applyNumberFormat="1" applyFont="1" applyBorder="1" applyAlignment="1">
      <alignment vertical="center" wrapText="1"/>
    </xf>
    <xf numFmtId="0" fontId="95" fillId="0" borderId="139" xfId="0" applyFont="1" applyBorder="1" applyAlignment="1">
      <alignment vertical="center" wrapText="1"/>
    </xf>
    <xf numFmtId="0" fontId="94" fillId="0" borderId="140" xfId="0" applyFont="1" applyBorder="1" applyAlignment="1">
      <alignment vertical="center" wrapText="1"/>
    </xf>
    <xf numFmtId="0" fontId="94" fillId="0" borderId="141" xfId="0" applyFont="1" applyBorder="1" applyAlignment="1">
      <alignment vertical="center" wrapText="1"/>
    </xf>
    <xf numFmtId="0" fontId="94" fillId="0" borderId="142" xfId="0" applyFont="1" applyBorder="1" applyAlignment="1">
      <alignment vertical="center" wrapText="1"/>
    </xf>
    <xf numFmtId="0" fontId="94" fillId="0" borderId="143" xfId="0" applyFont="1" applyBorder="1" applyAlignment="1">
      <alignment vertical="center" wrapText="1"/>
    </xf>
    <xf numFmtId="0" fontId="95" fillId="0" borderId="144" xfId="0" applyFont="1" applyBorder="1" applyAlignment="1">
      <alignment vertical="center" wrapText="1"/>
    </xf>
    <xf numFmtId="0" fontId="95" fillId="49" borderId="145" xfId="0" applyFont="1" applyFill="1" applyBorder="1" applyAlignment="1">
      <alignment horizontal="center" vertical="center" wrapText="1"/>
    </xf>
    <xf numFmtId="0" fontId="95" fillId="0" borderId="146" xfId="0" applyFont="1" applyBorder="1" applyAlignment="1">
      <alignment vertical="center" wrapText="1"/>
    </xf>
    <xf numFmtId="3" fontId="95" fillId="0" borderId="144" xfId="0" applyNumberFormat="1" applyFont="1" applyBorder="1" applyAlignment="1">
      <alignment vertical="center" wrapText="1"/>
    </xf>
    <xf numFmtId="3" fontId="94" fillId="0" borderId="140" xfId="0" applyNumberFormat="1" applyFont="1" applyBorder="1" applyAlignment="1">
      <alignment vertical="center" wrapText="1"/>
    </xf>
    <xf numFmtId="3" fontId="95" fillId="0" borderId="146" xfId="0" applyNumberFormat="1" applyFont="1" applyBorder="1" applyAlignment="1">
      <alignment vertical="center" wrapText="1"/>
    </xf>
    <xf numFmtId="3" fontId="94" fillId="0" borderId="142" xfId="0" applyNumberFormat="1" applyFont="1" applyBorder="1" applyAlignment="1">
      <alignment vertical="center" wrapText="1"/>
    </xf>
    <xf numFmtId="0" fontId="95" fillId="0" borderId="147" xfId="0" applyFont="1" applyBorder="1" applyAlignment="1">
      <alignment vertical="center" wrapText="1"/>
    </xf>
    <xf numFmtId="0" fontId="95" fillId="49" borderId="148" xfId="0" applyFont="1" applyFill="1" applyBorder="1" applyAlignment="1">
      <alignment horizontal="center" vertical="center" wrapText="1"/>
    </xf>
    <xf numFmtId="0" fontId="95" fillId="0" borderId="149" xfId="0" applyFont="1" applyBorder="1" applyAlignment="1">
      <alignment vertical="center" wrapText="1"/>
    </xf>
    <xf numFmtId="0" fontId="95" fillId="0" borderId="150" xfId="0" applyFont="1" applyBorder="1" applyAlignment="1">
      <alignment vertical="center" wrapText="1"/>
    </xf>
    <xf numFmtId="176" fontId="58" fillId="0" borderId="33" xfId="0" applyNumberFormat="1" applyFont="1" applyBorder="1" applyAlignment="1" applyProtection="1">
      <alignment horizontal="left" vertical="center"/>
    </xf>
    <xf numFmtId="176" fontId="58" fillId="0" borderId="48" xfId="0" applyNumberFormat="1" applyFont="1" applyBorder="1" applyAlignment="1" applyProtection="1">
      <alignment horizontal="left" vertical="center"/>
    </xf>
    <xf numFmtId="176" fontId="58" fillId="0" borderId="34" xfId="0" applyNumberFormat="1" applyFont="1" applyBorder="1" applyAlignment="1" applyProtection="1">
      <alignment horizontal="left" vertical="center"/>
    </xf>
    <xf numFmtId="176" fontId="58" fillId="0" borderId="49" xfId="0" applyNumberFormat="1" applyFont="1" applyBorder="1" applyAlignment="1" applyProtection="1">
      <alignment horizontal="left" vertical="center"/>
    </xf>
    <xf numFmtId="0" fontId="55" fillId="4" borderId="8" xfId="919" applyFont="1" applyFill="1" applyBorder="1" applyAlignment="1">
      <alignment horizontal="center" vertical="center"/>
    </xf>
    <xf numFmtId="0" fontId="55" fillId="4" borderId="51" xfId="919" applyFont="1" applyFill="1" applyBorder="1" applyAlignment="1">
      <alignment horizontal="center" vertical="center"/>
    </xf>
    <xf numFmtId="176" fontId="42" fillId="0" borderId="24" xfId="919" applyNumberFormat="1" applyBorder="1" applyAlignment="1">
      <alignment horizontal="left" vertical="center"/>
    </xf>
    <xf numFmtId="176" fontId="42" fillId="0" borderId="52" xfId="919" applyNumberFormat="1" applyBorder="1" applyAlignment="1">
      <alignment horizontal="left" vertical="center"/>
    </xf>
    <xf numFmtId="176" fontId="58" fillId="0" borderId="32" xfId="0" applyNumberFormat="1" applyFont="1" applyBorder="1" applyAlignment="1" applyProtection="1">
      <alignment horizontal="left" vertical="center"/>
    </xf>
    <xf numFmtId="176" fontId="58" fillId="0" borderId="53" xfId="0" applyNumberFormat="1" applyFont="1" applyBorder="1" applyAlignment="1" applyProtection="1">
      <alignment horizontal="left" vertical="center"/>
    </xf>
    <xf numFmtId="0" fontId="55" fillId="4" borderId="8" xfId="902" applyFont="1" applyFill="1" applyBorder="1" applyAlignment="1">
      <alignment horizontal="center" vertical="center"/>
    </xf>
    <xf numFmtId="0" fontId="55" fillId="4" borderId="51" xfId="902" applyFont="1" applyFill="1" applyBorder="1" applyAlignment="1">
      <alignment horizontal="center" vertical="center"/>
    </xf>
    <xf numFmtId="176" fontId="42" fillId="0" borderId="24" xfId="902" applyNumberFormat="1" applyBorder="1" applyAlignment="1">
      <alignment horizontal="left" vertical="center"/>
    </xf>
    <xf numFmtId="176" fontId="42" fillId="0" borderId="52" xfId="902" applyNumberFormat="1" applyBorder="1" applyAlignment="1">
      <alignment horizontal="left" vertical="center"/>
    </xf>
    <xf numFmtId="0" fontId="55" fillId="4" borderId="8" xfId="900" applyFont="1" applyFill="1" applyBorder="1" applyAlignment="1">
      <alignment horizontal="center" vertical="center"/>
    </xf>
    <xf numFmtId="0" fontId="55" fillId="4" borderId="51" xfId="900" applyFont="1" applyFill="1" applyBorder="1" applyAlignment="1">
      <alignment horizontal="center" vertical="center"/>
    </xf>
    <xf numFmtId="176" fontId="42" fillId="0" borderId="24" xfId="900" applyNumberFormat="1" applyBorder="1" applyAlignment="1">
      <alignment horizontal="left" vertical="center"/>
    </xf>
    <xf numFmtId="176" fontId="42" fillId="0" borderId="52" xfId="900" applyNumberFormat="1" applyBorder="1" applyAlignment="1">
      <alignment horizontal="left" vertical="center"/>
    </xf>
    <xf numFmtId="0" fontId="55" fillId="4" borderId="8" xfId="896" applyFont="1" applyFill="1" applyBorder="1" applyAlignment="1">
      <alignment horizontal="center" vertical="center"/>
    </xf>
    <xf numFmtId="0" fontId="55" fillId="4" borderId="51" xfId="896" applyFont="1" applyFill="1" applyBorder="1" applyAlignment="1">
      <alignment horizontal="center" vertical="center"/>
    </xf>
    <xf numFmtId="176" fontId="42" fillId="0" borderId="24" xfId="896" applyNumberFormat="1" applyBorder="1" applyAlignment="1">
      <alignment horizontal="left" vertical="center"/>
    </xf>
    <xf numFmtId="176" fontId="42" fillId="0" borderId="52" xfId="896" applyNumberFormat="1" applyBorder="1" applyAlignment="1">
      <alignment horizontal="left" vertical="center"/>
    </xf>
    <xf numFmtId="0" fontId="55" fillId="4" borderId="8" xfId="909" applyFont="1" applyFill="1" applyBorder="1" applyAlignment="1">
      <alignment horizontal="center" vertical="center"/>
    </xf>
    <xf numFmtId="0" fontId="55" fillId="4" borderId="51" xfId="909" applyFont="1" applyFill="1" applyBorder="1" applyAlignment="1">
      <alignment horizontal="center" vertical="center"/>
    </xf>
    <xf numFmtId="176" fontId="42" fillId="0" borderId="24" xfId="909" applyNumberFormat="1" applyBorder="1" applyAlignment="1">
      <alignment horizontal="left" vertical="center"/>
    </xf>
    <xf numFmtId="176" fontId="42" fillId="0" borderId="52" xfId="909" applyNumberFormat="1" applyBorder="1" applyAlignment="1">
      <alignment horizontal="left" vertical="center"/>
    </xf>
    <xf numFmtId="0" fontId="55" fillId="4" borderId="8" xfId="894" applyFont="1" applyFill="1" applyBorder="1" applyAlignment="1">
      <alignment horizontal="center" vertical="center"/>
    </xf>
    <xf numFmtId="0" fontId="55" fillId="4" borderId="51" xfId="894" applyFont="1" applyFill="1" applyBorder="1" applyAlignment="1">
      <alignment horizontal="center" vertical="center"/>
    </xf>
    <xf numFmtId="176" fontId="42" fillId="0" borderId="24" xfId="894" applyNumberFormat="1" applyBorder="1" applyAlignment="1">
      <alignment horizontal="left" vertical="center"/>
    </xf>
    <xf numFmtId="176" fontId="42" fillId="0" borderId="52" xfId="894" applyNumberFormat="1" applyBorder="1" applyAlignment="1">
      <alignment horizontal="left" vertical="center"/>
    </xf>
    <xf numFmtId="0" fontId="55" fillId="4" borderId="8" xfId="898" applyFont="1" applyFill="1" applyBorder="1" applyAlignment="1">
      <alignment horizontal="center" vertical="center"/>
    </xf>
    <xf numFmtId="0" fontId="55" fillId="4" borderId="51" xfId="898" applyFont="1" applyFill="1" applyBorder="1" applyAlignment="1">
      <alignment horizontal="center" vertical="center"/>
    </xf>
    <xf numFmtId="176" fontId="42" fillId="0" borderId="24" xfId="898" applyNumberFormat="1" applyBorder="1" applyAlignment="1">
      <alignment horizontal="left" vertical="center"/>
    </xf>
    <xf numFmtId="176" fontId="42" fillId="0" borderId="52" xfId="898" applyNumberFormat="1" applyBorder="1" applyAlignment="1">
      <alignment horizontal="left" vertical="center"/>
    </xf>
    <xf numFmtId="0" fontId="55" fillId="4" borderId="8" xfId="907" applyFont="1" applyFill="1" applyBorder="1" applyAlignment="1">
      <alignment horizontal="center" vertical="center"/>
    </xf>
    <xf numFmtId="0" fontId="55" fillId="4" borderId="51" xfId="907" applyFont="1" applyFill="1" applyBorder="1" applyAlignment="1">
      <alignment horizontal="center" vertical="center"/>
    </xf>
    <xf numFmtId="176" fontId="42" fillId="0" borderId="24" xfId="907" applyNumberFormat="1" applyBorder="1" applyAlignment="1">
      <alignment horizontal="left" vertical="center"/>
    </xf>
    <xf numFmtId="176" fontId="42" fillId="0" borderId="52" xfId="907" applyNumberFormat="1" applyBorder="1" applyAlignment="1">
      <alignment horizontal="left" vertical="center"/>
    </xf>
    <xf numFmtId="0" fontId="55" fillId="4" borderId="8" xfId="905" applyFont="1" applyFill="1" applyBorder="1" applyAlignment="1">
      <alignment horizontal="center" vertical="center"/>
    </xf>
    <xf numFmtId="0" fontId="55" fillId="4" borderId="51" xfId="905" applyFont="1" applyFill="1" applyBorder="1" applyAlignment="1">
      <alignment horizontal="center" vertical="center"/>
    </xf>
    <xf numFmtId="176" fontId="42" fillId="0" borderId="24" xfId="905" applyNumberFormat="1" applyBorder="1" applyAlignment="1">
      <alignment horizontal="left" vertical="center"/>
    </xf>
    <xf numFmtId="176" fontId="42" fillId="0" borderId="52" xfId="905" applyNumberFormat="1" applyBorder="1" applyAlignment="1">
      <alignment horizontal="left" vertical="center"/>
    </xf>
    <xf numFmtId="0" fontId="55" fillId="4" borderId="8" xfId="886" applyFont="1" applyFill="1" applyBorder="1" applyAlignment="1">
      <alignment horizontal="center" vertical="center"/>
    </xf>
    <xf numFmtId="0" fontId="55" fillId="4" borderId="51" xfId="886" applyFont="1" applyFill="1" applyBorder="1" applyAlignment="1">
      <alignment horizontal="center" vertical="center"/>
    </xf>
    <xf numFmtId="176" fontId="42" fillId="0" borderId="24" xfId="886" applyNumberFormat="1" applyBorder="1" applyAlignment="1">
      <alignment horizontal="left" vertical="center"/>
    </xf>
    <xf numFmtId="176" fontId="42" fillId="0" borderId="52" xfId="886" applyNumberFormat="1" applyBorder="1" applyAlignment="1">
      <alignment horizontal="left" vertical="center"/>
    </xf>
    <xf numFmtId="0" fontId="55" fillId="4" borderId="8" xfId="885" applyFont="1" applyFill="1" applyBorder="1" applyAlignment="1">
      <alignment horizontal="center" vertical="center"/>
    </xf>
    <xf numFmtId="0" fontId="55" fillId="4" borderId="51" xfId="885" applyFont="1" applyFill="1" applyBorder="1" applyAlignment="1">
      <alignment horizontal="center" vertical="center"/>
    </xf>
    <xf numFmtId="0" fontId="55" fillId="4" borderId="8" xfId="925" applyFont="1" applyFill="1" applyBorder="1" applyAlignment="1">
      <alignment horizontal="center" vertical="center"/>
    </xf>
    <xf numFmtId="0" fontId="55" fillId="4" borderId="51" xfId="925" applyFont="1" applyFill="1" applyBorder="1" applyAlignment="1">
      <alignment horizontal="center" vertical="center"/>
    </xf>
    <xf numFmtId="176" fontId="42" fillId="0" borderId="24" xfId="925" applyNumberFormat="1" applyBorder="1" applyAlignment="1">
      <alignment horizontal="left" vertical="center"/>
    </xf>
    <xf numFmtId="176" fontId="42" fillId="0" borderId="52" xfId="925" applyNumberFormat="1" applyBorder="1" applyAlignment="1">
      <alignment horizontal="left" vertical="center"/>
    </xf>
    <xf numFmtId="0" fontId="55" fillId="4" borderId="8" xfId="923" applyFont="1" applyFill="1" applyBorder="1" applyAlignment="1">
      <alignment horizontal="center" vertical="center"/>
    </xf>
    <xf numFmtId="0" fontId="55" fillId="4" borderId="51" xfId="923" applyFont="1" applyFill="1" applyBorder="1" applyAlignment="1">
      <alignment horizontal="center" vertical="center"/>
    </xf>
    <xf numFmtId="176" fontId="42" fillId="0" borderId="24" xfId="923" applyNumberFormat="1" applyBorder="1" applyAlignment="1">
      <alignment horizontal="left" vertical="center"/>
    </xf>
    <xf numFmtId="176" fontId="42" fillId="0" borderId="52" xfId="923" applyNumberFormat="1" applyBorder="1" applyAlignment="1">
      <alignment horizontal="left" vertical="center"/>
    </xf>
    <xf numFmtId="0" fontId="55" fillId="4" borderId="8" xfId="913" applyFont="1" applyFill="1" applyBorder="1" applyAlignment="1">
      <alignment horizontal="center" vertical="center"/>
    </xf>
    <xf numFmtId="0" fontId="55" fillId="4" borderId="51" xfId="913" applyFont="1" applyFill="1" applyBorder="1" applyAlignment="1">
      <alignment horizontal="center" vertical="center"/>
    </xf>
    <xf numFmtId="176" fontId="42" fillId="0" borderId="24" xfId="913" applyNumberFormat="1" applyBorder="1" applyAlignment="1">
      <alignment horizontal="left" vertical="center"/>
    </xf>
    <xf numFmtId="176" fontId="42" fillId="0" borderId="52" xfId="913" applyNumberFormat="1" applyBorder="1" applyAlignment="1">
      <alignment horizontal="left" vertical="center"/>
    </xf>
    <xf numFmtId="0" fontId="55" fillId="4" borderId="8" xfId="911" applyFont="1" applyFill="1" applyBorder="1" applyAlignment="1">
      <alignment horizontal="center" vertical="center"/>
    </xf>
    <xf numFmtId="0" fontId="55" fillId="4" borderId="51" xfId="911" applyFont="1" applyFill="1" applyBorder="1" applyAlignment="1">
      <alignment horizontal="center" vertical="center"/>
    </xf>
    <xf numFmtId="176" fontId="42" fillId="0" borderId="24" xfId="911" applyNumberFormat="1" applyBorder="1" applyAlignment="1">
      <alignment horizontal="left" vertical="center"/>
    </xf>
    <xf numFmtId="176" fontId="42" fillId="0" borderId="52" xfId="911" applyNumberFormat="1" applyBorder="1" applyAlignment="1">
      <alignment horizontal="left" vertical="center"/>
    </xf>
    <xf numFmtId="0" fontId="55" fillId="4" borderId="8" xfId="890" applyFont="1" applyFill="1" applyBorder="1" applyAlignment="1">
      <alignment horizontal="center" vertical="center"/>
    </xf>
    <xf numFmtId="0" fontId="55" fillId="4" borderId="51" xfId="890" applyFont="1" applyFill="1" applyBorder="1" applyAlignment="1">
      <alignment horizontal="center" vertical="center"/>
    </xf>
    <xf numFmtId="176" fontId="42" fillId="0" borderId="24" xfId="890" applyNumberFormat="1" applyBorder="1" applyAlignment="1">
      <alignment horizontal="left" vertical="center"/>
    </xf>
    <xf numFmtId="176" fontId="42" fillId="0" borderId="52" xfId="890" applyNumberFormat="1" applyBorder="1" applyAlignment="1">
      <alignment horizontal="left" vertical="center"/>
    </xf>
    <xf numFmtId="0" fontId="55" fillId="4" borderId="8" xfId="888" applyFont="1" applyFill="1" applyBorder="1" applyAlignment="1">
      <alignment horizontal="center" vertical="center"/>
    </xf>
    <xf numFmtId="0" fontId="55" fillId="4" borderId="51" xfId="888" applyFont="1" applyFill="1" applyBorder="1" applyAlignment="1">
      <alignment horizontal="center" vertical="center"/>
    </xf>
    <xf numFmtId="176" fontId="42" fillId="0" borderId="24" xfId="888" applyNumberFormat="1" applyBorder="1" applyAlignment="1">
      <alignment horizontal="left" vertical="center"/>
    </xf>
    <xf numFmtId="176" fontId="42" fillId="0" borderId="52" xfId="888" applyNumberFormat="1" applyBorder="1" applyAlignment="1">
      <alignment horizontal="left" vertical="center"/>
    </xf>
    <xf numFmtId="0" fontId="55" fillId="4" borderId="8" xfId="915" applyFont="1" applyFill="1" applyBorder="1" applyAlignment="1">
      <alignment horizontal="center" vertical="center"/>
    </xf>
    <xf numFmtId="0" fontId="55" fillId="4" borderId="51" xfId="915" applyFont="1" applyFill="1" applyBorder="1" applyAlignment="1">
      <alignment horizontal="center" vertical="center"/>
    </xf>
    <xf numFmtId="176" fontId="42" fillId="0" borderId="24" xfId="915" applyNumberFormat="1" applyBorder="1" applyAlignment="1">
      <alignment horizontal="left" vertical="center"/>
    </xf>
    <xf numFmtId="176" fontId="42" fillId="0" borderId="52" xfId="915" applyNumberFormat="1" applyBorder="1" applyAlignment="1">
      <alignment horizontal="left" vertical="center"/>
    </xf>
    <xf numFmtId="0" fontId="55" fillId="4" borderId="8" xfId="927" applyFont="1" applyFill="1" applyBorder="1" applyAlignment="1">
      <alignment horizontal="center" vertical="center"/>
    </xf>
    <xf numFmtId="0" fontId="55" fillId="4" borderId="51" xfId="927" applyFont="1" applyFill="1" applyBorder="1" applyAlignment="1">
      <alignment horizontal="center" vertical="center"/>
    </xf>
    <xf numFmtId="176" fontId="42" fillId="0" borderId="24" xfId="927" applyNumberFormat="1" applyBorder="1" applyAlignment="1">
      <alignment horizontal="left" vertical="center"/>
    </xf>
    <xf numFmtId="176" fontId="42" fillId="0" borderId="52" xfId="927" applyNumberFormat="1" applyBorder="1" applyAlignment="1">
      <alignment horizontal="left" vertical="center"/>
    </xf>
    <xf numFmtId="0" fontId="55" fillId="4" borderId="8" xfId="917" applyFont="1" applyFill="1" applyBorder="1" applyAlignment="1">
      <alignment horizontal="center" vertical="center"/>
    </xf>
    <xf numFmtId="0" fontId="55" fillId="4" borderId="51" xfId="917" applyFont="1" applyFill="1" applyBorder="1" applyAlignment="1">
      <alignment horizontal="center" vertical="center"/>
    </xf>
    <xf numFmtId="176" fontId="42" fillId="0" borderId="24" xfId="917" applyNumberFormat="1" applyBorder="1" applyAlignment="1">
      <alignment horizontal="left" vertical="center"/>
    </xf>
    <xf numFmtId="176" fontId="42" fillId="0" borderId="52" xfId="917" applyNumberFormat="1" applyBorder="1" applyAlignment="1">
      <alignment horizontal="left" vertical="center"/>
    </xf>
    <xf numFmtId="176" fontId="77" fillId="0" borderId="35" xfId="893" applyNumberFormat="1" applyFont="1" applyBorder="1" applyAlignment="1">
      <alignment horizontal="right" vertical="center"/>
    </xf>
    <xf numFmtId="176" fontId="94" fillId="0" borderId="131" xfId="0" applyNumberFormat="1" applyFont="1" applyBorder="1" applyAlignment="1">
      <alignment horizontal="center" vertical="center" wrapText="1"/>
    </xf>
    <xf numFmtId="176" fontId="81" fillId="0" borderId="0" xfId="0" applyNumberFormat="1" applyFont="1" applyAlignment="1">
      <alignment horizontal="center" vertical="center"/>
    </xf>
    <xf numFmtId="176" fontId="81" fillId="49" borderId="47" xfId="0" applyNumberFormat="1" applyFont="1" applyFill="1" applyBorder="1" applyAlignment="1">
      <alignment horizontal="center" vertical="center" wrapText="1"/>
    </xf>
    <xf numFmtId="176" fontId="81" fillId="0" borderId="25" xfId="0" applyNumberFormat="1" applyFont="1" applyFill="1" applyBorder="1" applyAlignment="1" applyProtection="1">
      <alignment horizontal="center" vertical="center"/>
    </xf>
    <xf numFmtId="0" fontId="80" fillId="49" borderId="19" xfId="892" applyFont="1" applyFill="1" applyBorder="1" applyAlignment="1">
      <alignment horizontal="center" vertical="center"/>
    </xf>
    <xf numFmtId="0" fontId="80" fillId="49" borderId="19" xfId="892" applyFont="1" applyFill="1" applyBorder="1" applyAlignment="1">
      <alignment horizontal="center" vertical="center" wrapText="1"/>
    </xf>
    <xf numFmtId="176" fontId="77" fillId="0" borderId="36" xfId="893" applyNumberFormat="1" applyFont="1" applyBorder="1" applyAlignment="1"/>
    <xf numFmtId="176" fontId="77" fillId="0" borderId="79" xfId="893" applyNumberFormat="1" applyFont="1" applyBorder="1" applyAlignment="1"/>
    <xf numFmtId="176" fontId="94" fillId="0" borderId="131" xfId="0" applyNumberFormat="1" applyFont="1" applyBorder="1" applyAlignment="1">
      <alignment horizontal="center" vertical="center" wrapText="1"/>
    </xf>
    <xf numFmtId="176" fontId="77" fillId="0" borderId="35" xfId="893" applyNumberFormat="1" applyFont="1" applyBorder="1" applyAlignment="1">
      <alignment horizontal="right" vertical="center"/>
    </xf>
    <xf numFmtId="176" fontId="99" fillId="0" borderId="30" xfId="914" applyNumberFormat="1" applyFont="1" applyBorder="1"/>
    <xf numFmtId="0" fontId="57" fillId="0" borderId="0" xfId="919" applyFont="1" applyAlignment="1">
      <alignment horizontal="center" vertical="center"/>
    </xf>
    <xf numFmtId="0" fontId="42" fillId="0" borderId="50" xfId="919" applyBorder="1" applyAlignment="1">
      <alignment horizontal="right" vertical="center"/>
    </xf>
    <xf numFmtId="0" fontId="54" fillId="0" borderId="0" xfId="919" applyFont="1" applyAlignment="1">
      <alignment horizontal="center" vertical="center"/>
    </xf>
    <xf numFmtId="176" fontId="81" fillId="49" borderId="157" xfId="0" applyNumberFormat="1" applyFont="1" applyFill="1" applyBorder="1" applyAlignment="1">
      <alignment horizontal="center" vertical="center" wrapText="1"/>
    </xf>
    <xf numFmtId="176" fontId="81" fillId="49" borderId="158" xfId="0" applyNumberFormat="1" applyFont="1" applyFill="1" applyBorder="1" applyAlignment="1">
      <alignment horizontal="center" vertical="center" wrapText="1"/>
    </xf>
    <xf numFmtId="176" fontId="81" fillId="49" borderId="159" xfId="0" applyNumberFormat="1" applyFont="1" applyFill="1" applyBorder="1" applyAlignment="1">
      <alignment horizontal="center" vertical="center" wrapText="1"/>
    </xf>
    <xf numFmtId="176" fontId="81" fillId="0" borderId="151" xfId="0" applyNumberFormat="1" applyFont="1" applyFill="1" applyBorder="1" applyAlignment="1" applyProtection="1">
      <alignment horizontal="center" vertical="center"/>
    </xf>
    <xf numFmtId="176" fontId="81" fillId="0" borderId="152" xfId="0" applyNumberFormat="1" applyFont="1" applyBorder="1" applyAlignment="1">
      <alignment horizontal="center" vertical="center"/>
    </xf>
    <xf numFmtId="176" fontId="81" fillId="0" borderId="153" xfId="0" applyNumberFormat="1" applyFont="1" applyBorder="1" applyAlignment="1">
      <alignment horizontal="center" vertical="center"/>
    </xf>
    <xf numFmtId="176" fontId="82" fillId="0" borderId="124" xfId="0" applyNumberFormat="1" applyFont="1" applyFill="1" applyBorder="1" applyAlignment="1" applyProtection="1">
      <alignment horizontal="center" vertical="center"/>
    </xf>
    <xf numFmtId="176" fontId="82" fillId="0" borderId="154" xfId="0" applyNumberFormat="1" applyFont="1" applyFill="1" applyBorder="1" applyAlignment="1" applyProtection="1">
      <alignment horizontal="center" vertical="center"/>
    </xf>
    <xf numFmtId="176" fontId="81" fillId="0" borderId="188" xfId="0" applyNumberFormat="1" applyFont="1" applyFill="1" applyBorder="1" applyAlignment="1" applyProtection="1">
      <alignment horizontal="center" vertical="center"/>
    </xf>
    <xf numFmtId="176" fontId="81" fillId="0" borderId="189" xfId="0" applyNumberFormat="1" applyFont="1" applyFill="1" applyBorder="1" applyAlignment="1" applyProtection="1">
      <alignment horizontal="center" vertical="center"/>
    </xf>
    <xf numFmtId="176" fontId="81" fillId="0" borderId="124" xfId="0" applyNumberFormat="1" applyFont="1" applyFill="1" applyBorder="1" applyAlignment="1" applyProtection="1">
      <alignment horizontal="center" vertical="center"/>
    </xf>
    <xf numFmtId="176" fontId="81" fillId="0" borderId="154" xfId="0" applyNumberFormat="1" applyFont="1" applyFill="1" applyBorder="1" applyAlignment="1" applyProtection="1">
      <alignment horizontal="center" vertical="center"/>
    </xf>
    <xf numFmtId="176" fontId="81" fillId="0" borderId="155" xfId="0" applyNumberFormat="1" applyFont="1" applyFill="1" applyBorder="1" applyAlignment="1" applyProtection="1">
      <alignment horizontal="center" vertical="center"/>
    </xf>
    <xf numFmtId="176" fontId="81" fillId="0" borderId="156" xfId="0" applyNumberFormat="1" applyFont="1" applyFill="1" applyBorder="1" applyAlignment="1" applyProtection="1">
      <alignment horizontal="center" vertical="center"/>
    </xf>
    <xf numFmtId="176" fontId="81" fillId="0" borderId="54" xfId="0" applyNumberFormat="1" applyFont="1" applyBorder="1" applyAlignment="1">
      <alignment horizontal="center" vertical="center"/>
    </xf>
    <xf numFmtId="176" fontId="81" fillId="0" borderId="55" xfId="0" applyNumberFormat="1" applyFont="1" applyBorder="1" applyAlignment="1">
      <alignment horizontal="center" vertical="center"/>
    </xf>
    <xf numFmtId="176" fontId="82" fillId="0" borderId="56" xfId="0" applyNumberFormat="1" applyFont="1" applyFill="1" applyBorder="1" applyAlignment="1" applyProtection="1">
      <alignment horizontal="center" vertical="center"/>
    </xf>
    <xf numFmtId="176" fontId="82" fillId="0" borderId="55" xfId="0" applyNumberFormat="1" applyFont="1" applyFill="1" applyBorder="1" applyAlignment="1" applyProtection="1">
      <alignment horizontal="center" vertical="center"/>
    </xf>
    <xf numFmtId="176" fontId="81" fillId="0" borderId="186" xfId="0" applyNumberFormat="1" applyFont="1" applyFill="1" applyBorder="1" applyAlignment="1" applyProtection="1">
      <alignment horizontal="center" vertical="center"/>
    </xf>
    <xf numFmtId="176" fontId="81" fillId="0" borderId="187" xfId="0" applyNumberFormat="1" applyFont="1" applyFill="1" applyBorder="1" applyAlignment="1" applyProtection="1">
      <alignment horizontal="center" vertical="center"/>
    </xf>
    <xf numFmtId="176" fontId="81" fillId="0" borderId="56" xfId="0" applyNumberFormat="1" applyFont="1" applyFill="1" applyBorder="1" applyAlignment="1" applyProtection="1">
      <alignment horizontal="center" vertical="center"/>
    </xf>
    <xf numFmtId="176" fontId="81" fillId="0" borderId="55" xfId="0" applyNumberFormat="1" applyFont="1" applyFill="1" applyBorder="1" applyAlignment="1" applyProtection="1">
      <alignment horizontal="center" vertical="center"/>
    </xf>
    <xf numFmtId="176" fontId="81" fillId="49" borderId="167" xfId="0" applyNumberFormat="1" applyFont="1" applyFill="1" applyBorder="1" applyAlignment="1">
      <alignment horizontal="center" vertical="center"/>
    </xf>
    <xf numFmtId="176" fontId="81" fillId="49" borderId="168" xfId="0" applyNumberFormat="1" applyFont="1" applyFill="1" applyBorder="1" applyAlignment="1">
      <alignment horizontal="center" vertical="center"/>
    </xf>
    <xf numFmtId="176" fontId="81" fillId="49" borderId="156" xfId="0" applyNumberFormat="1" applyFont="1" applyFill="1" applyBorder="1" applyAlignment="1">
      <alignment horizontal="center" vertical="center"/>
    </xf>
    <xf numFmtId="176" fontId="81" fillId="49" borderId="155" xfId="0" applyNumberFormat="1" applyFont="1" applyFill="1" applyBorder="1" applyAlignment="1">
      <alignment horizontal="center" vertical="center"/>
    </xf>
    <xf numFmtId="176" fontId="81" fillId="49" borderId="169" xfId="0" applyNumberFormat="1" applyFont="1" applyFill="1" applyBorder="1" applyAlignment="1">
      <alignment horizontal="center" vertical="center"/>
    </xf>
    <xf numFmtId="176" fontId="81" fillId="49" borderId="164" xfId="0" applyNumberFormat="1" applyFont="1" applyFill="1" applyBorder="1" applyAlignment="1">
      <alignment horizontal="center" vertical="center"/>
    </xf>
    <xf numFmtId="176" fontId="81" fillId="0" borderId="0" xfId="0" applyNumberFormat="1" applyFont="1" applyAlignment="1">
      <alignment horizontal="center" vertical="center"/>
    </xf>
    <xf numFmtId="176" fontId="81" fillId="0" borderId="165" xfId="0" applyNumberFormat="1" applyFont="1" applyBorder="1" applyAlignment="1">
      <alignment horizontal="center" vertical="center"/>
    </xf>
    <xf numFmtId="176" fontId="82" fillId="0" borderId="128" xfId="0" applyNumberFormat="1" applyFont="1" applyFill="1" applyBorder="1" applyAlignment="1" applyProtection="1">
      <alignment horizontal="center" vertical="center"/>
    </xf>
    <xf numFmtId="176" fontId="82" fillId="0" borderId="185" xfId="0" applyNumberFormat="1" applyFont="1" applyFill="1" applyBorder="1" applyAlignment="1" applyProtection="1">
      <alignment horizontal="center" vertical="center"/>
    </xf>
    <xf numFmtId="176" fontId="81" fillId="49" borderId="160" xfId="0" applyNumberFormat="1" applyFont="1" applyFill="1" applyBorder="1" applyAlignment="1">
      <alignment horizontal="center" vertical="center"/>
    </xf>
    <xf numFmtId="176" fontId="81" fillId="0" borderId="161" xfId="0" applyNumberFormat="1" applyFont="1" applyBorder="1" applyAlignment="1">
      <alignment horizontal="center" vertical="center"/>
    </xf>
    <xf numFmtId="176" fontId="81" fillId="0" borderId="162" xfId="0" applyNumberFormat="1" applyFont="1" applyBorder="1" applyAlignment="1">
      <alignment horizontal="center" vertical="center"/>
    </xf>
    <xf numFmtId="176" fontId="81" fillId="49" borderId="163" xfId="0" applyNumberFormat="1" applyFont="1" applyFill="1" applyBorder="1" applyAlignment="1">
      <alignment horizontal="center" vertical="center" wrapText="1"/>
    </xf>
    <xf numFmtId="176" fontId="81" fillId="49" borderId="164" xfId="0" applyNumberFormat="1" applyFont="1" applyFill="1" applyBorder="1" applyAlignment="1">
      <alignment horizontal="center" vertical="center" wrapText="1"/>
    </xf>
    <xf numFmtId="176" fontId="81" fillId="0" borderId="166" xfId="0" applyNumberFormat="1" applyFont="1" applyBorder="1" applyAlignment="1">
      <alignment horizontal="center" vertical="center"/>
    </xf>
    <xf numFmtId="176" fontId="81" fillId="0" borderId="128" xfId="0" applyNumberFormat="1" applyFont="1" applyBorder="1" applyAlignment="1">
      <alignment horizontal="center" vertical="center"/>
    </xf>
    <xf numFmtId="176" fontId="81" fillId="49" borderId="38" xfId="0" applyNumberFormat="1" applyFont="1" applyFill="1" applyBorder="1" applyAlignment="1">
      <alignment horizontal="center" vertical="center"/>
    </xf>
    <xf numFmtId="176" fontId="81" fillId="49" borderId="57" xfId="0" applyNumberFormat="1" applyFont="1" applyFill="1" applyBorder="1" applyAlignment="1">
      <alignment horizontal="center" vertical="center"/>
    </xf>
    <xf numFmtId="176" fontId="81" fillId="49" borderId="157" xfId="0" applyNumberFormat="1" applyFont="1" applyFill="1" applyBorder="1" applyAlignment="1">
      <alignment horizontal="center" vertical="center"/>
    </xf>
    <xf numFmtId="176" fontId="81" fillId="49" borderId="158" xfId="0" applyNumberFormat="1" applyFont="1" applyFill="1" applyBorder="1" applyAlignment="1">
      <alignment horizontal="center" vertical="center"/>
    </xf>
    <xf numFmtId="176" fontId="82" fillId="0" borderId="183" xfId="0" applyNumberFormat="1" applyFont="1" applyBorder="1" applyAlignment="1">
      <alignment horizontal="center" vertical="center"/>
    </xf>
    <xf numFmtId="176" fontId="82" fillId="0" borderId="184" xfId="0" applyNumberFormat="1" applyFont="1" applyBorder="1" applyAlignment="1">
      <alignment horizontal="center" vertical="center"/>
    </xf>
    <xf numFmtId="176" fontId="81" fillId="49" borderId="58" xfId="0" applyNumberFormat="1" applyFont="1" applyFill="1" applyBorder="1" applyAlignment="1">
      <alignment horizontal="center" vertical="center"/>
    </xf>
    <xf numFmtId="176" fontId="81" fillId="0" borderId="37" xfId="0" applyNumberFormat="1" applyFont="1" applyBorder="1" applyAlignment="1">
      <alignment horizontal="center" vertical="center"/>
    </xf>
    <xf numFmtId="176" fontId="81" fillId="0" borderId="59" xfId="0" applyNumberFormat="1" applyFont="1" applyBorder="1" applyAlignment="1">
      <alignment horizontal="center" vertical="center"/>
    </xf>
    <xf numFmtId="176" fontId="82" fillId="0" borderId="61" xfId="0" applyNumberFormat="1" applyFont="1" applyFill="1" applyBorder="1" applyAlignment="1" applyProtection="1">
      <alignment horizontal="center" vertical="center"/>
    </xf>
    <xf numFmtId="176" fontId="82" fillId="0" borderId="59" xfId="0" applyNumberFormat="1" applyFont="1" applyFill="1" applyBorder="1" applyAlignment="1" applyProtection="1">
      <alignment horizontal="center" vertical="center"/>
    </xf>
    <xf numFmtId="176" fontId="81" fillId="0" borderId="61" xfId="0" applyNumberFormat="1" applyFont="1" applyFill="1" applyBorder="1" applyAlignment="1" applyProtection="1">
      <alignment horizontal="center" vertical="center"/>
    </xf>
    <xf numFmtId="176" fontId="81" fillId="0" borderId="59" xfId="0" applyNumberFormat="1" applyFont="1" applyFill="1" applyBorder="1" applyAlignment="1" applyProtection="1">
      <alignment horizontal="center" vertical="center"/>
    </xf>
    <xf numFmtId="3" fontId="95" fillId="0" borderId="172" xfId="0" applyNumberFormat="1" applyFont="1" applyBorder="1" applyAlignment="1">
      <alignment horizontal="center" vertical="center" wrapText="1"/>
    </xf>
    <xf numFmtId="3" fontId="95" fillId="0" borderId="173" xfId="0" applyNumberFormat="1" applyFont="1" applyBorder="1" applyAlignment="1">
      <alignment horizontal="center" vertical="center" wrapText="1"/>
    </xf>
    <xf numFmtId="3" fontId="94" fillId="0" borderId="172" xfId="0" applyNumberFormat="1" applyFont="1" applyBorder="1" applyAlignment="1">
      <alignment horizontal="center" vertical="center" wrapText="1"/>
    </xf>
    <xf numFmtId="3" fontId="94" fillId="0" borderId="173" xfId="0" applyNumberFormat="1" applyFont="1" applyBorder="1" applyAlignment="1">
      <alignment horizontal="center" vertical="center" wrapText="1"/>
    </xf>
    <xf numFmtId="176" fontId="81" fillId="49" borderId="69" xfId="0" applyNumberFormat="1" applyFont="1" applyFill="1" applyBorder="1" applyAlignment="1">
      <alignment horizontal="center" vertical="center" wrapText="1"/>
    </xf>
    <xf numFmtId="176" fontId="81" fillId="49" borderId="70" xfId="0" applyNumberFormat="1" applyFont="1" applyFill="1" applyBorder="1" applyAlignment="1">
      <alignment horizontal="center" vertical="center" wrapText="1"/>
    </xf>
    <xf numFmtId="176" fontId="82" fillId="0" borderId="62" xfId="0" applyNumberFormat="1" applyFont="1" applyBorder="1" applyAlignment="1">
      <alignment horizontal="center" vertical="center"/>
    </xf>
    <xf numFmtId="176" fontId="81" fillId="0" borderId="62" xfId="0" applyNumberFormat="1" applyFont="1" applyBorder="1">
      <alignment vertical="center"/>
    </xf>
    <xf numFmtId="176" fontId="81" fillId="0" borderId="63" xfId="0" applyNumberFormat="1" applyFont="1" applyBorder="1">
      <alignment vertical="center"/>
    </xf>
    <xf numFmtId="3" fontId="95" fillId="0" borderId="174" xfId="0" applyNumberFormat="1" applyFont="1" applyBorder="1" applyAlignment="1">
      <alignment horizontal="center" vertical="center" wrapText="1"/>
    </xf>
    <xf numFmtId="3" fontId="95" fillId="0" borderId="175" xfId="0" applyNumberFormat="1" applyFont="1" applyBorder="1" applyAlignment="1">
      <alignment horizontal="center" vertical="center" wrapText="1"/>
    </xf>
    <xf numFmtId="3" fontId="95" fillId="0" borderId="176" xfId="0" applyNumberFormat="1" applyFont="1" applyBorder="1" applyAlignment="1">
      <alignment horizontal="center" vertical="center" wrapText="1"/>
    </xf>
    <xf numFmtId="176" fontId="82" fillId="0" borderId="64" xfId="0" applyNumberFormat="1" applyFont="1" applyFill="1" applyBorder="1" applyAlignment="1" applyProtection="1">
      <alignment horizontal="center" vertical="center"/>
    </xf>
    <xf numFmtId="176" fontId="82" fillId="0" borderId="62" xfId="0" applyNumberFormat="1" applyFont="1" applyFill="1" applyBorder="1" applyAlignment="1" applyProtection="1">
      <alignment horizontal="center" vertical="center"/>
    </xf>
    <xf numFmtId="176" fontId="78" fillId="0" borderId="177" xfId="0" applyNumberFormat="1" applyFont="1" applyBorder="1" applyAlignment="1">
      <alignment horizontal="left" vertical="center"/>
    </xf>
    <xf numFmtId="176" fontId="94" fillId="0" borderId="131" xfId="0" applyNumberFormat="1" applyFont="1" applyBorder="1" applyAlignment="1">
      <alignment horizontal="center" vertical="center" wrapText="1"/>
    </xf>
    <xf numFmtId="176" fontId="94" fillId="0" borderId="171" xfId="0" applyNumberFormat="1" applyFont="1" applyBorder="1" applyAlignment="1">
      <alignment horizontal="center" vertical="center" wrapText="1"/>
    </xf>
    <xf numFmtId="176" fontId="81" fillId="49" borderId="181" xfId="0" applyNumberFormat="1" applyFont="1" applyFill="1" applyBorder="1" applyAlignment="1">
      <alignment horizontal="center" vertical="center"/>
    </xf>
    <xf numFmtId="176" fontId="81" fillId="49" borderId="182" xfId="0" applyNumberFormat="1" applyFont="1" applyFill="1" applyBorder="1" applyAlignment="1">
      <alignment horizontal="center" vertical="center"/>
    </xf>
    <xf numFmtId="176" fontId="81" fillId="49" borderId="170" xfId="0" applyNumberFormat="1" applyFont="1" applyFill="1" applyBorder="1" applyAlignment="1">
      <alignment horizontal="center" vertical="center"/>
    </xf>
    <xf numFmtId="176" fontId="81" fillId="49" borderId="167" xfId="0" applyNumberFormat="1" applyFont="1" applyFill="1" applyBorder="1" applyAlignment="1">
      <alignment horizontal="center" vertical="center" wrapText="1"/>
    </xf>
    <xf numFmtId="176" fontId="81" fillId="49" borderId="156" xfId="0" applyNumberFormat="1" applyFont="1" applyFill="1" applyBorder="1" applyAlignment="1">
      <alignment horizontal="center" vertical="center" wrapText="1"/>
    </xf>
    <xf numFmtId="176" fontId="96" fillId="0" borderId="0" xfId="0" applyNumberFormat="1" applyFont="1" applyAlignment="1">
      <alignment horizontal="center" vertical="center"/>
    </xf>
    <xf numFmtId="176" fontId="89" fillId="0" borderId="0" xfId="0" applyNumberFormat="1" applyFont="1" applyAlignment="1">
      <alignment horizontal="center" vertical="center"/>
    </xf>
    <xf numFmtId="176" fontId="33" fillId="0" borderId="74" xfId="0" applyNumberFormat="1" applyFont="1" applyBorder="1" applyAlignment="1">
      <alignment horizontal="right" vertical="center"/>
    </xf>
    <xf numFmtId="176" fontId="82" fillId="49" borderId="65" xfId="0" applyNumberFormat="1" applyFont="1" applyFill="1" applyBorder="1" applyAlignment="1">
      <alignment horizontal="center" vertical="center"/>
    </xf>
    <xf numFmtId="176" fontId="82" fillId="49" borderId="72" xfId="0" applyNumberFormat="1" applyFont="1" applyFill="1" applyBorder="1" applyAlignment="1">
      <alignment horizontal="center" vertical="center"/>
    </xf>
    <xf numFmtId="176" fontId="82" fillId="49" borderId="71" xfId="0" applyNumberFormat="1" applyFont="1" applyFill="1" applyBorder="1" applyAlignment="1">
      <alignment horizontal="center" vertical="center"/>
    </xf>
    <xf numFmtId="176" fontId="82" fillId="0" borderId="73" xfId="0" applyNumberFormat="1" applyFont="1" applyBorder="1" applyAlignment="1">
      <alignment horizontal="center" vertical="center"/>
    </xf>
    <xf numFmtId="176" fontId="81" fillId="0" borderId="73" xfId="0" applyNumberFormat="1" applyFont="1" applyBorder="1">
      <alignment vertical="center"/>
    </xf>
    <xf numFmtId="176" fontId="81" fillId="0" borderId="60" xfId="0" applyNumberFormat="1" applyFont="1" applyBorder="1">
      <alignment vertical="center"/>
    </xf>
    <xf numFmtId="3" fontId="95" fillId="0" borderId="178" xfId="0" applyNumberFormat="1" applyFont="1" applyBorder="1" applyAlignment="1">
      <alignment horizontal="center" vertical="center" wrapText="1"/>
    </xf>
    <xf numFmtId="3" fontId="95" fillId="0" borderId="179" xfId="0" applyNumberFormat="1" applyFont="1" applyBorder="1" applyAlignment="1">
      <alignment horizontal="center" vertical="center" wrapText="1"/>
    </xf>
    <xf numFmtId="3" fontId="95" fillId="0" borderId="180" xfId="0" applyNumberFormat="1" applyFont="1" applyBorder="1" applyAlignment="1">
      <alignment horizontal="center" vertical="center" wrapText="1"/>
    </xf>
    <xf numFmtId="176" fontId="95" fillId="0" borderId="178" xfId="0" applyNumberFormat="1" applyFont="1" applyBorder="1" applyAlignment="1">
      <alignment horizontal="center" vertical="center" wrapText="1"/>
    </xf>
    <xf numFmtId="0" fontId="95" fillId="0" borderId="179" xfId="0" applyFont="1" applyBorder="1" applyAlignment="1">
      <alignment horizontal="center" vertical="center" wrapText="1"/>
    </xf>
    <xf numFmtId="176" fontId="81" fillId="49" borderId="66" xfId="0" applyNumberFormat="1" applyFont="1" applyFill="1" applyBorder="1" applyAlignment="1">
      <alignment horizontal="center" vertical="center"/>
    </xf>
    <xf numFmtId="176" fontId="81" fillId="49" borderId="67" xfId="0" applyNumberFormat="1" applyFont="1" applyFill="1" applyBorder="1" applyAlignment="1">
      <alignment horizontal="center" vertical="center"/>
    </xf>
    <xf numFmtId="176" fontId="81" fillId="49" borderId="68" xfId="0" applyNumberFormat="1" applyFont="1" applyFill="1" applyBorder="1" applyAlignment="1">
      <alignment horizontal="center" vertical="center"/>
    </xf>
    <xf numFmtId="0" fontId="57" fillId="0" borderId="0" xfId="902" applyFont="1" applyAlignment="1">
      <alignment horizontal="center" vertical="center"/>
    </xf>
    <xf numFmtId="0" fontId="42" fillId="0" borderId="50" xfId="902" applyBorder="1" applyAlignment="1">
      <alignment horizontal="right" vertical="center"/>
    </xf>
    <xf numFmtId="0" fontId="54" fillId="0" borderId="0" xfId="902" applyFont="1" applyAlignment="1">
      <alignment horizontal="center" vertical="center"/>
    </xf>
    <xf numFmtId="0" fontId="57" fillId="0" borderId="0" xfId="900" applyFont="1" applyAlignment="1">
      <alignment horizontal="center" vertical="center"/>
    </xf>
    <xf numFmtId="0" fontId="54" fillId="0" borderId="0" xfId="900" applyFont="1" applyAlignment="1">
      <alignment horizontal="center" vertical="center"/>
    </xf>
    <xf numFmtId="0" fontId="42" fillId="0" borderId="50" xfId="900" applyBorder="1" applyAlignment="1">
      <alignment horizontal="right" vertical="center"/>
    </xf>
    <xf numFmtId="0" fontId="57" fillId="0" borderId="0" xfId="896" applyFont="1" applyAlignment="1">
      <alignment horizontal="center" vertical="center"/>
    </xf>
    <xf numFmtId="0" fontId="42" fillId="0" borderId="50" xfId="896" applyBorder="1" applyAlignment="1">
      <alignment horizontal="right" vertical="center"/>
    </xf>
    <xf numFmtId="0" fontId="54" fillId="0" borderId="0" xfId="896" applyFont="1" applyAlignment="1">
      <alignment horizontal="center" vertical="center"/>
    </xf>
    <xf numFmtId="0" fontId="57" fillId="0" borderId="0" xfId="909" applyFont="1" applyAlignment="1">
      <alignment horizontal="center" vertical="center"/>
    </xf>
    <xf numFmtId="0" fontId="42" fillId="0" borderId="50" xfId="909" applyBorder="1" applyAlignment="1">
      <alignment horizontal="right" vertical="center"/>
    </xf>
    <xf numFmtId="0" fontId="54" fillId="0" borderId="0" xfId="909" applyFont="1" applyAlignment="1">
      <alignment horizontal="center" vertical="center"/>
    </xf>
    <xf numFmtId="0" fontId="57" fillId="0" borderId="0" xfId="894" applyFont="1" applyAlignment="1">
      <alignment horizontal="center" vertical="center"/>
    </xf>
    <xf numFmtId="0" fontId="42" fillId="0" borderId="50" xfId="894" applyBorder="1" applyAlignment="1">
      <alignment horizontal="right" vertical="center"/>
    </xf>
    <xf numFmtId="0" fontId="54" fillId="0" borderId="0" xfId="894" applyFont="1" applyAlignment="1">
      <alignment horizontal="center" vertical="center"/>
    </xf>
    <xf numFmtId="0" fontId="57" fillId="0" borderId="0" xfId="898" applyFont="1" applyAlignment="1">
      <alignment horizontal="center" vertical="center"/>
    </xf>
    <xf numFmtId="0" fontId="42" fillId="0" borderId="50" xfId="898" applyBorder="1" applyAlignment="1">
      <alignment horizontal="right" vertical="center"/>
    </xf>
    <xf numFmtId="0" fontId="54" fillId="0" borderId="0" xfId="898" applyFont="1" applyAlignment="1">
      <alignment horizontal="center" vertical="center"/>
    </xf>
    <xf numFmtId="0" fontId="57" fillId="0" borderId="0" xfId="907" applyFont="1" applyAlignment="1">
      <alignment horizontal="center" vertical="center"/>
    </xf>
    <xf numFmtId="0" fontId="42" fillId="0" borderId="50" xfId="907" applyBorder="1" applyAlignment="1">
      <alignment horizontal="right" vertical="center"/>
    </xf>
    <xf numFmtId="0" fontId="54" fillId="0" borderId="0" xfId="907" applyFont="1" applyAlignment="1">
      <alignment horizontal="center" vertical="center"/>
    </xf>
    <xf numFmtId="0" fontId="57" fillId="0" borderId="0" xfId="905" applyFont="1" applyAlignment="1">
      <alignment horizontal="center" vertical="center"/>
    </xf>
    <xf numFmtId="0" fontId="42" fillId="0" borderId="50" xfId="905" applyBorder="1" applyAlignment="1">
      <alignment horizontal="right" vertical="center"/>
    </xf>
    <xf numFmtId="0" fontId="54" fillId="0" borderId="0" xfId="905" applyFont="1" applyAlignment="1">
      <alignment horizontal="center" vertical="center"/>
    </xf>
    <xf numFmtId="0" fontId="57" fillId="0" borderId="0" xfId="886" applyFont="1" applyAlignment="1">
      <alignment horizontal="center" vertical="center"/>
    </xf>
    <xf numFmtId="0" fontId="42" fillId="0" borderId="50" xfId="886" applyBorder="1" applyAlignment="1">
      <alignment horizontal="right" vertical="center"/>
    </xf>
    <xf numFmtId="0" fontId="54" fillId="0" borderId="0" xfId="886" applyFont="1" applyAlignment="1">
      <alignment horizontal="center" vertical="center"/>
    </xf>
    <xf numFmtId="0" fontId="57" fillId="0" borderId="0" xfId="885" applyFont="1" applyAlignment="1">
      <alignment horizontal="center" vertical="center"/>
    </xf>
    <xf numFmtId="0" fontId="42" fillId="0" borderId="50" xfId="885" applyBorder="1" applyAlignment="1">
      <alignment horizontal="right" vertical="center"/>
    </xf>
    <xf numFmtId="0" fontId="54" fillId="0" borderId="0" xfId="885" applyFont="1" applyAlignment="1">
      <alignment horizontal="center" vertical="center"/>
    </xf>
    <xf numFmtId="0" fontId="57" fillId="0" borderId="0" xfId="925" applyFont="1" applyAlignment="1">
      <alignment horizontal="center" vertical="center"/>
    </xf>
    <xf numFmtId="0" fontId="42" fillId="0" borderId="50" xfId="925" applyBorder="1" applyAlignment="1">
      <alignment horizontal="right" vertical="center"/>
    </xf>
    <xf numFmtId="0" fontId="54" fillId="0" borderId="0" xfId="925" applyFont="1" applyAlignment="1">
      <alignment horizontal="center" vertical="center"/>
    </xf>
    <xf numFmtId="0" fontId="57" fillId="0" borderId="0" xfId="923" applyFont="1" applyAlignment="1">
      <alignment horizontal="center" vertical="center"/>
    </xf>
    <xf numFmtId="0" fontId="42" fillId="0" borderId="50" xfId="923" applyBorder="1" applyAlignment="1">
      <alignment horizontal="right" vertical="center"/>
    </xf>
    <xf numFmtId="0" fontId="54" fillId="0" borderId="0" xfId="923" applyFont="1" applyAlignment="1">
      <alignment horizontal="center" vertical="center"/>
    </xf>
    <xf numFmtId="0" fontId="57" fillId="0" borderId="0" xfId="913" applyFont="1" applyAlignment="1">
      <alignment horizontal="center" vertical="center"/>
    </xf>
    <xf numFmtId="0" fontId="42" fillId="0" borderId="50" xfId="913" applyBorder="1" applyAlignment="1">
      <alignment horizontal="right" vertical="center"/>
    </xf>
    <xf numFmtId="0" fontId="54" fillId="0" borderId="0" xfId="913" applyFont="1" applyAlignment="1">
      <alignment horizontal="center" vertical="center"/>
    </xf>
    <xf numFmtId="0" fontId="57" fillId="0" borderId="0" xfId="911" applyFont="1" applyAlignment="1">
      <alignment horizontal="center" vertical="center"/>
    </xf>
    <xf numFmtId="0" fontId="42" fillId="0" borderId="50" xfId="911" applyBorder="1" applyAlignment="1">
      <alignment horizontal="right" vertical="center"/>
    </xf>
    <xf numFmtId="0" fontId="54" fillId="0" borderId="0" xfId="911" applyFont="1" applyAlignment="1">
      <alignment horizontal="center" vertical="center"/>
    </xf>
    <xf numFmtId="0" fontId="57" fillId="0" borderId="0" xfId="890" applyFont="1" applyAlignment="1">
      <alignment horizontal="center" vertical="center"/>
    </xf>
    <xf numFmtId="0" fontId="42" fillId="0" borderId="50" xfId="890" applyBorder="1" applyAlignment="1">
      <alignment horizontal="right" vertical="center"/>
    </xf>
    <xf numFmtId="0" fontId="54" fillId="0" borderId="0" xfId="890" applyFont="1" applyAlignment="1">
      <alignment horizontal="center" vertical="center"/>
    </xf>
    <xf numFmtId="0" fontId="57" fillId="0" borderId="0" xfId="888" applyFont="1" applyAlignment="1">
      <alignment horizontal="center" vertical="center"/>
    </xf>
    <xf numFmtId="0" fontId="42" fillId="0" borderId="50" xfId="888" applyBorder="1" applyAlignment="1">
      <alignment horizontal="right" vertical="center"/>
    </xf>
    <xf numFmtId="0" fontId="54" fillId="0" borderId="0" xfId="888" applyFont="1" applyAlignment="1">
      <alignment horizontal="center" vertical="center"/>
    </xf>
    <xf numFmtId="0" fontId="57" fillId="0" borderId="0" xfId="915" applyFont="1" applyAlignment="1">
      <alignment horizontal="center" vertical="center"/>
    </xf>
    <xf numFmtId="0" fontId="42" fillId="0" borderId="50" xfId="915" applyBorder="1" applyAlignment="1">
      <alignment horizontal="right" vertical="center"/>
    </xf>
    <xf numFmtId="0" fontId="54" fillId="0" borderId="0" xfId="915" applyFont="1" applyAlignment="1">
      <alignment horizontal="center" vertical="center"/>
    </xf>
    <xf numFmtId="0" fontId="57" fillId="0" borderId="0" xfId="927" applyFont="1" applyAlignment="1">
      <alignment horizontal="center" vertical="center"/>
    </xf>
    <xf numFmtId="0" fontId="42" fillId="0" borderId="50" xfId="927" applyBorder="1" applyAlignment="1">
      <alignment horizontal="right" vertical="center"/>
    </xf>
    <xf numFmtId="0" fontId="54" fillId="0" borderId="0" xfId="927" applyFont="1" applyAlignment="1">
      <alignment horizontal="center" vertical="center"/>
    </xf>
    <xf numFmtId="0" fontId="57" fillId="0" borderId="0" xfId="917" applyFont="1" applyAlignment="1">
      <alignment horizontal="center" vertical="center"/>
    </xf>
    <xf numFmtId="0" fontId="42" fillId="0" borderId="50" xfId="917" applyBorder="1" applyAlignment="1">
      <alignment horizontal="right" vertical="center"/>
    </xf>
    <xf numFmtId="0" fontId="54" fillId="0" borderId="0" xfId="917" applyFont="1" applyAlignment="1">
      <alignment horizontal="center" vertical="center"/>
    </xf>
    <xf numFmtId="176" fontId="77" fillId="0" borderId="35" xfId="893" applyNumberFormat="1" applyFont="1" applyBorder="1" applyAlignment="1">
      <alignment horizontal="right" vertical="center"/>
    </xf>
    <xf numFmtId="176" fontId="77" fillId="0" borderId="36" xfId="893" applyNumberFormat="1" applyFont="1" applyBorder="1" applyAlignment="1">
      <alignment horizontal="right" vertical="center"/>
    </xf>
    <xf numFmtId="176" fontId="80" fillId="0" borderId="35" xfId="893" applyNumberFormat="1" applyFont="1" applyBorder="1" applyAlignment="1">
      <alignment horizontal="right" vertical="center"/>
    </xf>
    <xf numFmtId="176" fontId="80" fillId="0" borderId="36" xfId="893" applyNumberFormat="1" applyFont="1" applyBorder="1" applyAlignment="1">
      <alignment horizontal="right" vertical="center"/>
    </xf>
    <xf numFmtId="176" fontId="80" fillId="0" borderId="79" xfId="893" applyNumberFormat="1" applyFont="1" applyBorder="1" applyAlignment="1">
      <alignment horizontal="right" vertical="center"/>
    </xf>
    <xf numFmtId="176" fontId="77" fillId="0" borderId="79" xfId="893" applyNumberFormat="1" applyFont="1" applyBorder="1" applyAlignment="1">
      <alignment horizontal="right" vertical="center"/>
    </xf>
    <xf numFmtId="0" fontId="80" fillId="49" borderId="19" xfId="892" applyFont="1" applyFill="1" applyBorder="1" applyAlignment="1">
      <alignment horizontal="center" vertical="center"/>
    </xf>
    <xf numFmtId="176" fontId="77" fillId="0" borderId="75" xfId="893" applyNumberFormat="1" applyFont="1" applyBorder="1" applyAlignment="1">
      <alignment horizontal="right" vertical="center"/>
    </xf>
    <xf numFmtId="0" fontId="80" fillId="49" borderId="20" xfId="892" applyFont="1" applyFill="1" applyBorder="1" applyAlignment="1">
      <alignment horizontal="center" vertical="center"/>
    </xf>
    <xf numFmtId="0" fontId="80" fillId="50" borderId="19" xfId="892" applyFont="1" applyFill="1" applyBorder="1" applyAlignment="1">
      <alignment horizontal="center" vertical="center"/>
    </xf>
    <xf numFmtId="0" fontId="80" fillId="50" borderId="20" xfId="892" applyFont="1" applyFill="1" applyBorder="1" applyAlignment="1">
      <alignment horizontal="center" vertical="center"/>
    </xf>
    <xf numFmtId="176" fontId="80" fillId="0" borderId="76" xfId="893" applyNumberFormat="1" applyFont="1" applyBorder="1" applyAlignment="1">
      <alignment horizontal="center" vertical="center"/>
    </xf>
    <xf numFmtId="176" fontId="80" fillId="0" borderId="2" xfId="893" applyNumberFormat="1" applyFont="1" applyBorder="1" applyAlignment="1">
      <alignment horizontal="center" vertical="center"/>
    </xf>
    <xf numFmtId="176" fontId="80" fillId="0" borderId="77" xfId="893" applyNumberFormat="1" applyFont="1" applyBorder="1" applyAlignment="1">
      <alignment horizontal="center" vertical="center"/>
    </xf>
    <xf numFmtId="176" fontId="80" fillId="0" borderId="78" xfId="893" applyNumberFormat="1" applyFont="1" applyBorder="1" applyAlignment="1">
      <alignment horizontal="center" vertical="center"/>
    </xf>
    <xf numFmtId="0" fontId="80" fillId="50" borderId="19" xfId="892" applyFont="1" applyFill="1" applyBorder="1" applyAlignment="1">
      <alignment horizontal="center" vertical="center" wrapText="1"/>
    </xf>
    <xf numFmtId="0" fontId="78" fillId="0" borderId="0" xfId="892" applyAlignment="1">
      <alignment horizontal="left" vertical="center"/>
    </xf>
    <xf numFmtId="0" fontId="77" fillId="0" borderId="79" xfId="892" applyFont="1" applyBorder="1" applyAlignment="1">
      <alignment horizontal="center" vertical="center"/>
    </xf>
    <xf numFmtId="0" fontId="77" fillId="0" borderId="35" xfId="892" applyFont="1" applyBorder="1" applyAlignment="1">
      <alignment horizontal="center" vertical="center"/>
    </xf>
    <xf numFmtId="0" fontId="80" fillId="50" borderId="18" xfId="892" applyFont="1" applyFill="1" applyBorder="1" applyAlignment="1">
      <alignment horizontal="center" vertical="center"/>
    </xf>
    <xf numFmtId="0" fontId="80" fillId="49" borderId="18" xfId="892" applyFont="1" applyFill="1" applyBorder="1" applyAlignment="1">
      <alignment horizontal="center" vertical="center"/>
    </xf>
    <xf numFmtId="0" fontId="80" fillId="49" borderId="19" xfId="892" applyFont="1" applyFill="1" applyBorder="1" applyAlignment="1">
      <alignment horizontal="center" vertical="center" wrapText="1"/>
    </xf>
    <xf numFmtId="0" fontId="77" fillId="0" borderId="75" xfId="892" applyFont="1" applyBorder="1" applyAlignment="1">
      <alignment horizontal="center" vertical="center"/>
    </xf>
    <xf numFmtId="0" fontId="80" fillId="49" borderId="25" xfId="892" applyFont="1" applyFill="1" applyBorder="1" applyAlignment="1">
      <alignment horizontal="center" vertical="center"/>
    </xf>
    <xf numFmtId="0" fontId="80" fillId="49" borderId="80" xfId="892" applyFont="1" applyFill="1" applyBorder="1" applyAlignment="1">
      <alignment horizontal="center" vertical="center"/>
    </xf>
    <xf numFmtId="0" fontId="80" fillId="49" borderId="83" xfId="892" applyFont="1" applyFill="1" applyBorder="1" applyAlignment="1">
      <alignment horizontal="center" vertical="center"/>
    </xf>
    <xf numFmtId="0" fontId="80" fillId="49" borderId="76" xfId="892" applyFont="1" applyFill="1" applyBorder="1" applyAlignment="1">
      <alignment horizontal="center" vertical="center"/>
    </xf>
    <xf numFmtId="0" fontId="97" fillId="0" borderId="0" xfId="892" applyFont="1" applyAlignment="1">
      <alignment horizontal="center" vertical="center"/>
    </xf>
    <xf numFmtId="0" fontId="80" fillId="49" borderId="81" xfId="892" applyFont="1" applyFill="1" applyBorder="1" applyAlignment="1">
      <alignment horizontal="center" vertical="center"/>
    </xf>
    <xf numFmtId="0" fontId="80" fillId="49" borderId="82" xfId="892" applyFont="1" applyFill="1" applyBorder="1" applyAlignment="1">
      <alignment horizontal="center" vertical="center"/>
    </xf>
    <xf numFmtId="0" fontId="77" fillId="0" borderId="83" xfId="892" applyFont="1" applyBorder="1" applyAlignment="1">
      <alignment horizontal="center" vertical="center"/>
    </xf>
    <xf numFmtId="0" fontId="77" fillId="0" borderId="25" xfId="892" applyFont="1" applyBorder="1" applyAlignment="1">
      <alignment horizontal="center" vertical="center"/>
    </xf>
    <xf numFmtId="0" fontId="77" fillId="0" borderId="84" xfId="892" applyFont="1" applyBorder="1" applyAlignment="1">
      <alignment horizontal="center" vertical="center"/>
    </xf>
    <xf numFmtId="0" fontId="77" fillId="0" borderId="85" xfId="892" applyFont="1" applyBorder="1" applyAlignment="1">
      <alignment horizontal="center" vertical="center"/>
    </xf>
    <xf numFmtId="176" fontId="80" fillId="0" borderId="84" xfId="893" applyNumberFormat="1" applyFont="1" applyBorder="1" applyAlignment="1">
      <alignment horizontal="center" vertical="center"/>
    </xf>
    <xf numFmtId="176" fontId="80" fillId="0" borderId="83" xfId="893" applyNumberFormat="1" applyFont="1" applyBorder="1" applyAlignment="1">
      <alignment horizontal="center" vertical="center"/>
    </xf>
    <xf numFmtId="0" fontId="80" fillId="49" borderId="86" xfId="892" applyFont="1" applyFill="1" applyBorder="1" applyAlignment="1">
      <alignment horizontal="center" vertical="center"/>
    </xf>
    <xf numFmtId="0" fontId="80" fillId="49" borderId="87" xfId="892" applyFont="1" applyFill="1" applyBorder="1" applyAlignment="1">
      <alignment horizontal="center" vertical="center"/>
    </xf>
    <xf numFmtId="0" fontId="98" fillId="0" borderId="0" xfId="892" applyFont="1" applyAlignment="1">
      <alignment horizontal="center" vertical="center"/>
    </xf>
    <xf numFmtId="0" fontId="80" fillId="49" borderId="88" xfId="892" applyFont="1" applyFill="1" applyBorder="1" applyAlignment="1">
      <alignment horizontal="center" vertical="center"/>
    </xf>
    <xf numFmtId="0" fontId="80" fillId="49" borderId="89" xfId="892" applyFont="1" applyFill="1" applyBorder="1" applyAlignment="1">
      <alignment horizontal="center" vertical="center"/>
    </xf>
    <xf numFmtId="0" fontId="80" fillId="49" borderId="90" xfId="892" applyFont="1" applyFill="1" applyBorder="1" applyAlignment="1">
      <alignment horizontal="center" vertical="center"/>
    </xf>
    <xf numFmtId="0" fontId="80" fillId="49" borderId="91" xfId="892" applyFont="1" applyFill="1" applyBorder="1" applyAlignment="1">
      <alignment horizontal="center" vertical="center"/>
    </xf>
    <xf numFmtId="0" fontId="80" fillId="49" borderId="92" xfId="892" applyFont="1" applyFill="1" applyBorder="1" applyAlignment="1">
      <alignment horizontal="center" vertical="center"/>
    </xf>
    <xf numFmtId="0" fontId="80" fillId="49" borderId="93" xfId="892" applyFont="1" applyFill="1" applyBorder="1" applyAlignment="1">
      <alignment horizontal="center" vertical="center"/>
    </xf>
    <xf numFmtId="0" fontId="80" fillId="49" borderId="20" xfId="892" applyFont="1" applyFill="1" applyBorder="1" applyAlignment="1">
      <alignment horizontal="center" vertical="center" wrapText="1"/>
    </xf>
    <xf numFmtId="0" fontId="80" fillId="49" borderId="76" xfId="892" applyFont="1" applyFill="1" applyBorder="1" applyAlignment="1">
      <alignment horizontal="center" vertical="center" wrapText="1"/>
    </xf>
    <xf numFmtId="0" fontId="80" fillId="49" borderId="94" xfId="892" applyFont="1" applyFill="1" applyBorder="1" applyAlignment="1">
      <alignment horizontal="center" vertical="center"/>
    </xf>
    <xf numFmtId="0" fontId="80" fillId="49" borderId="95" xfId="892" applyFont="1" applyFill="1" applyBorder="1" applyAlignment="1">
      <alignment horizontal="center" vertical="center"/>
    </xf>
  </cellXfs>
  <cellStyles count="930">
    <cellStyle name="20% - 강조색1 10" xfId="1"/>
    <cellStyle name="20% - 강조색1 10 2" xfId="2"/>
    <cellStyle name="20% - 강조색1 11" xfId="3"/>
    <cellStyle name="20% - 강조색1 11 2" xfId="4"/>
    <cellStyle name="20% - 강조색1 12" xfId="5"/>
    <cellStyle name="20% - 강조색1 12 2" xfId="6"/>
    <cellStyle name="20% - 강조색1 13" xfId="7"/>
    <cellStyle name="20% - 강조색1 13 2" xfId="8"/>
    <cellStyle name="20% - 강조색1 13 2 2" xfId="9"/>
    <cellStyle name="20% - 강조색1 13 3" xfId="10"/>
    <cellStyle name="20% - 강조색1 14" xfId="11"/>
    <cellStyle name="20% - 강조색1 14 2" xfId="12"/>
    <cellStyle name="20% - 강조색1 15" xfId="13"/>
    <cellStyle name="20% - 강조색1 15 2" xfId="14"/>
    <cellStyle name="20% - 강조색1 2" xfId="15"/>
    <cellStyle name="20% - 강조색1 2 2" xfId="16"/>
    <cellStyle name="20% - 강조색1 3" xfId="17"/>
    <cellStyle name="20% - 강조색1 3 2" xfId="18"/>
    <cellStyle name="20% - 강조색1 4" xfId="19"/>
    <cellStyle name="20% - 강조색1 4 2" xfId="20"/>
    <cellStyle name="20% - 강조색1 5" xfId="21"/>
    <cellStyle name="20% - 강조색1 5 2" xfId="22"/>
    <cellStyle name="20% - 강조색1 6" xfId="23"/>
    <cellStyle name="20% - 강조색1 6 2" xfId="24"/>
    <cellStyle name="20% - 강조색1 7" xfId="25"/>
    <cellStyle name="20% - 강조색1 7 2" xfId="26"/>
    <cellStyle name="20% - 강조색1 8" xfId="27"/>
    <cellStyle name="20% - 강조색1 8 2" xfId="28"/>
    <cellStyle name="20% - 강조색1 9" xfId="29"/>
    <cellStyle name="20% - 강조색1 9 2" xfId="30"/>
    <cellStyle name="20% - 강조색2 10" xfId="31"/>
    <cellStyle name="20% - 강조색2 10 2" xfId="32"/>
    <cellStyle name="20% - 강조색2 11" xfId="33"/>
    <cellStyle name="20% - 강조색2 11 2" xfId="34"/>
    <cellStyle name="20% - 강조색2 12" xfId="35"/>
    <cellStyle name="20% - 강조색2 12 2" xfId="36"/>
    <cellStyle name="20% - 강조색2 13" xfId="37"/>
    <cellStyle name="20% - 강조색2 13 2" xfId="38"/>
    <cellStyle name="20% - 강조색2 13 2 2" xfId="39"/>
    <cellStyle name="20% - 강조색2 13 3" xfId="40"/>
    <cellStyle name="20% - 강조색2 14" xfId="41"/>
    <cellStyle name="20% - 강조색2 14 2" xfId="42"/>
    <cellStyle name="20% - 강조색2 15" xfId="43"/>
    <cellStyle name="20% - 강조색2 15 2" xfId="44"/>
    <cellStyle name="20% - 강조색2 2" xfId="45"/>
    <cellStyle name="20% - 강조색2 2 2" xfId="46"/>
    <cellStyle name="20% - 강조색2 3" xfId="47"/>
    <cellStyle name="20% - 강조색2 3 2" xfId="48"/>
    <cellStyle name="20% - 강조색2 4" xfId="49"/>
    <cellStyle name="20% - 강조색2 4 2" xfId="50"/>
    <cellStyle name="20% - 강조색2 5" xfId="51"/>
    <cellStyle name="20% - 강조색2 5 2" xfId="52"/>
    <cellStyle name="20% - 강조색2 6" xfId="53"/>
    <cellStyle name="20% - 강조색2 6 2" xfId="54"/>
    <cellStyle name="20% - 강조색2 7" xfId="55"/>
    <cellStyle name="20% - 강조색2 7 2" xfId="56"/>
    <cellStyle name="20% - 강조색2 8" xfId="57"/>
    <cellStyle name="20% - 강조색2 8 2" xfId="58"/>
    <cellStyle name="20% - 강조색2 9" xfId="59"/>
    <cellStyle name="20% - 강조색2 9 2" xfId="60"/>
    <cellStyle name="20% - 강조색3 10" xfId="61"/>
    <cellStyle name="20% - 강조색3 10 2" xfId="62"/>
    <cellStyle name="20% - 강조색3 11" xfId="63"/>
    <cellStyle name="20% - 강조색3 11 2" xfId="64"/>
    <cellStyle name="20% - 강조색3 12" xfId="65"/>
    <cellStyle name="20% - 강조색3 12 2" xfId="66"/>
    <cellStyle name="20% - 강조색3 13" xfId="67"/>
    <cellStyle name="20% - 강조색3 13 2" xfId="68"/>
    <cellStyle name="20% - 강조색3 13 2 2" xfId="69"/>
    <cellStyle name="20% - 강조색3 13 3" xfId="70"/>
    <cellStyle name="20% - 강조색3 14" xfId="71"/>
    <cellStyle name="20% - 강조색3 14 2" xfId="72"/>
    <cellStyle name="20% - 강조색3 15" xfId="73"/>
    <cellStyle name="20% - 강조색3 15 2" xfId="74"/>
    <cellStyle name="20% - 강조색3 2" xfId="75"/>
    <cellStyle name="20% - 강조색3 2 2" xfId="76"/>
    <cellStyle name="20% - 강조색3 3" xfId="77"/>
    <cellStyle name="20% - 강조색3 3 2" xfId="78"/>
    <cellStyle name="20% - 강조색3 4" xfId="79"/>
    <cellStyle name="20% - 강조색3 4 2" xfId="80"/>
    <cellStyle name="20% - 강조색3 5" xfId="81"/>
    <cellStyle name="20% - 강조색3 5 2" xfId="82"/>
    <cellStyle name="20% - 강조색3 6" xfId="83"/>
    <cellStyle name="20% - 강조색3 6 2" xfId="84"/>
    <cellStyle name="20% - 강조색3 7" xfId="85"/>
    <cellStyle name="20% - 강조색3 7 2" xfId="86"/>
    <cellStyle name="20% - 강조색3 8" xfId="87"/>
    <cellStyle name="20% - 강조색3 8 2" xfId="88"/>
    <cellStyle name="20% - 강조색3 9" xfId="89"/>
    <cellStyle name="20% - 강조색3 9 2" xfId="90"/>
    <cellStyle name="20% - 강조색4 10" xfId="91"/>
    <cellStyle name="20% - 강조색4 10 2" xfId="92"/>
    <cellStyle name="20% - 강조색4 11" xfId="93"/>
    <cellStyle name="20% - 강조색4 11 2" xfId="94"/>
    <cellStyle name="20% - 강조색4 12" xfId="95"/>
    <cellStyle name="20% - 강조색4 12 2" xfId="96"/>
    <cellStyle name="20% - 강조색4 13" xfId="97"/>
    <cellStyle name="20% - 강조색4 13 2" xfId="98"/>
    <cellStyle name="20% - 강조색4 13 2 2" xfId="99"/>
    <cellStyle name="20% - 강조색4 13 3" xfId="100"/>
    <cellStyle name="20% - 강조색4 14" xfId="101"/>
    <cellStyle name="20% - 강조색4 14 2" xfId="102"/>
    <cellStyle name="20% - 강조색4 15" xfId="103"/>
    <cellStyle name="20% - 강조색4 15 2" xfId="104"/>
    <cellStyle name="20% - 강조색4 2" xfId="105"/>
    <cellStyle name="20% - 강조색4 2 2" xfId="106"/>
    <cellStyle name="20% - 강조색4 3" xfId="107"/>
    <cellStyle name="20% - 강조색4 3 2" xfId="108"/>
    <cellStyle name="20% - 강조색4 4" xfId="109"/>
    <cellStyle name="20% - 강조색4 4 2" xfId="110"/>
    <cellStyle name="20% - 강조색4 5" xfId="111"/>
    <cellStyle name="20% - 강조색4 5 2" xfId="112"/>
    <cellStyle name="20% - 강조색4 6" xfId="113"/>
    <cellStyle name="20% - 강조색4 6 2" xfId="114"/>
    <cellStyle name="20% - 강조색4 7" xfId="115"/>
    <cellStyle name="20% - 강조색4 7 2" xfId="116"/>
    <cellStyle name="20% - 강조색4 8" xfId="117"/>
    <cellStyle name="20% - 강조색4 8 2" xfId="118"/>
    <cellStyle name="20% - 강조색4 9" xfId="119"/>
    <cellStyle name="20% - 강조색4 9 2" xfId="120"/>
    <cellStyle name="20% - 강조색5 10" xfId="121"/>
    <cellStyle name="20% - 강조색5 10 2" xfId="122"/>
    <cellStyle name="20% - 강조색5 11" xfId="123"/>
    <cellStyle name="20% - 강조색5 11 2" xfId="124"/>
    <cellStyle name="20% - 강조색5 12" xfId="125"/>
    <cellStyle name="20% - 강조색5 12 2" xfId="126"/>
    <cellStyle name="20% - 강조색5 13" xfId="127"/>
    <cellStyle name="20% - 강조색5 13 2" xfId="128"/>
    <cellStyle name="20% - 강조색5 13 2 2" xfId="129"/>
    <cellStyle name="20% - 강조색5 13 3" xfId="130"/>
    <cellStyle name="20% - 강조색5 14" xfId="131"/>
    <cellStyle name="20% - 강조색5 14 2" xfId="132"/>
    <cellStyle name="20% - 강조색5 15" xfId="133"/>
    <cellStyle name="20% - 강조색5 15 2" xfId="134"/>
    <cellStyle name="20% - 강조색5 2" xfId="135"/>
    <cellStyle name="20% - 강조색5 2 2" xfId="136"/>
    <cellStyle name="20% - 강조색5 3" xfId="137"/>
    <cellStyle name="20% - 강조색5 3 2" xfId="138"/>
    <cellStyle name="20% - 강조색5 4" xfId="139"/>
    <cellStyle name="20% - 강조색5 4 2" xfId="140"/>
    <cellStyle name="20% - 강조색5 5" xfId="141"/>
    <cellStyle name="20% - 강조색5 5 2" xfId="142"/>
    <cellStyle name="20% - 강조색5 6" xfId="143"/>
    <cellStyle name="20% - 강조색5 6 2" xfId="144"/>
    <cellStyle name="20% - 강조색5 7" xfId="145"/>
    <cellStyle name="20% - 강조색5 7 2" xfId="146"/>
    <cellStyle name="20% - 강조색5 8" xfId="147"/>
    <cellStyle name="20% - 강조색5 8 2" xfId="148"/>
    <cellStyle name="20% - 강조색5 9" xfId="149"/>
    <cellStyle name="20% - 강조색5 9 2" xfId="150"/>
    <cellStyle name="20% - 강조색6 10" xfId="151"/>
    <cellStyle name="20% - 강조색6 10 2" xfId="152"/>
    <cellStyle name="20% - 강조색6 11" xfId="153"/>
    <cellStyle name="20% - 강조색6 11 2" xfId="154"/>
    <cellStyle name="20% - 강조색6 12" xfId="155"/>
    <cellStyle name="20% - 강조색6 12 2" xfId="156"/>
    <cellStyle name="20% - 강조색6 13" xfId="157"/>
    <cellStyle name="20% - 강조색6 13 2" xfId="158"/>
    <cellStyle name="20% - 강조색6 13 2 2" xfId="159"/>
    <cellStyle name="20% - 강조색6 13 3" xfId="160"/>
    <cellStyle name="20% - 강조색6 14" xfId="161"/>
    <cellStyle name="20% - 강조색6 14 2" xfId="162"/>
    <cellStyle name="20% - 강조색6 15" xfId="163"/>
    <cellStyle name="20% - 강조색6 15 2" xfId="164"/>
    <cellStyle name="20% - 강조색6 2" xfId="165"/>
    <cellStyle name="20% - 강조색6 2 2" xfId="166"/>
    <cellStyle name="20% - 강조색6 3" xfId="167"/>
    <cellStyle name="20% - 강조색6 3 2" xfId="168"/>
    <cellStyle name="20% - 강조색6 4" xfId="169"/>
    <cellStyle name="20% - 강조색6 4 2" xfId="170"/>
    <cellStyle name="20% - 강조색6 5" xfId="171"/>
    <cellStyle name="20% - 강조색6 5 2" xfId="172"/>
    <cellStyle name="20% - 강조색6 6" xfId="173"/>
    <cellStyle name="20% - 강조색6 6 2" xfId="174"/>
    <cellStyle name="20% - 강조색6 7" xfId="175"/>
    <cellStyle name="20% - 강조색6 7 2" xfId="176"/>
    <cellStyle name="20% - 강조색6 8" xfId="177"/>
    <cellStyle name="20% - 강조색6 8 2" xfId="178"/>
    <cellStyle name="20% - 강조색6 9" xfId="179"/>
    <cellStyle name="20% - 강조색6 9 2" xfId="180"/>
    <cellStyle name="40% - 강조색1 10" xfId="181"/>
    <cellStyle name="40% - 강조색1 11" xfId="182"/>
    <cellStyle name="40% - 강조색1 12" xfId="183"/>
    <cellStyle name="40% - 강조색1 13" xfId="184"/>
    <cellStyle name="40% - 강조색1 13 2" xfId="185"/>
    <cellStyle name="40% - 강조색1 14" xfId="186"/>
    <cellStyle name="40% - 강조색1 15" xfId="187"/>
    <cellStyle name="40% - 강조색1 2" xfId="188"/>
    <cellStyle name="40% - 강조색1 3" xfId="189"/>
    <cellStyle name="40% - 강조색1 4" xfId="190"/>
    <cellStyle name="40% - 강조색1 5" xfId="191"/>
    <cellStyle name="40% - 강조색1 6" xfId="192"/>
    <cellStyle name="40% - 강조색1 7" xfId="193"/>
    <cellStyle name="40% - 강조색1 8" xfId="194"/>
    <cellStyle name="40% - 강조색1 9" xfId="195"/>
    <cellStyle name="40% - 강조색2 10" xfId="196"/>
    <cellStyle name="40% - 강조색2 11" xfId="197"/>
    <cellStyle name="40% - 강조색2 12" xfId="198"/>
    <cellStyle name="40% - 강조색2 13" xfId="199"/>
    <cellStyle name="40% - 강조색2 13 2" xfId="200"/>
    <cellStyle name="40% - 강조색2 14" xfId="201"/>
    <cellStyle name="40% - 강조색2 15" xfId="202"/>
    <cellStyle name="40% - 강조색2 2" xfId="203"/>
    <cellStyle name="40% - 강조색2 3" xfId="204"/>
    <cellStyle name="40% - 강조색2 4" xfId="205"/>
    <cellStyle name="40% - 강조색2 5" xfId="206"/>
    <cellStyle name="40% - 강조색2 6" xfId="207"/>
    <cellStyle name="40% - 강조색2 7" xfId="208"/>
    <cellStyle name="40% - 강조색2 8" xfId="209"/>
    <cellStyle name="40% - 강조색2 9" xfId="210"/>
    <cellStyle name="40% - 강조색3 10" xfId="211"/>
    <cellStyle name="40% - 강조색3 11" xfId="212"/>
    <cellStyle name="40% - 강조색3 12" xfId="213"/>
    <cellStyle name="40% - 강조색3 13" xfId="214"/>
    <cellStyle name="40% - 강조색3 13 2" xfId="215"/>
    <cellStyle name="40% - 강조색3 14" xfId="216"/>
    <cellStyle name="40% - 강조색3 15" xfId="217"/>
    <cellStyle name="40% - 강조색3 2" xfId="218"/>
    <cellStyle name="40% - 강조색3 3" xfId="219"/>
    <cellStyle name="40% - 강조색3 4" xfId="220"/>
    <cellStyle name="40% - 강조색3 5" xfId="221"/>
    <cellStyle name="40% - 강조색3 6" xfId="222"/>
    <cellStyle name="40% - 강조색3 7" xfId="223"/>
    <cellStyle name="40% - 강조색3 8" xfId="224"/>
    <cellStyle name="40% - 강조색3 9" xfId="225"/>
    <cellStyle name="40% - 강조색4 10" xfId="226"/>
    <cellStyle name="40% - 강조색4 11" xfId="227"/>
    <cellStyle name="40% - 강조색4 12" xfId="228"/>
    <cellStyle name="40% - 강조색4 13" xfId="229"/>
    <cellStyle name="40% - 강조색4 13 2" xfId="230"/>
    <cellStyle name="40% - 강조색4 14" xfId="231"/>
    <cellStyle name="40% - 강조색4 15" xfId="232"/>
    <cellStyle name="40% - 강조색4 2" xfId="233"/>
    <cellStyle name="40% - 강조색4 3" xfId="234"/>
    <cellStyle name="40% - 강조색4 4" xfId="235"/>
    <cellStyle name="40% - 강조색4 5" xfId="236"/>
    <cellStyle name="40% - 강조색4 6" xfId="237"/>
    <cellStyle name="40% - 강조색4 7" xfId="238"/>
    <cellStyle name="40% - 강조색4 8" xfId="239"/>
    <cellStyle name="40% - 강조색4 9" xfId="240"/>
    <cellStyle name="40% - 강조색5 10" xfId="241"/>
    <cellStyle name="40% - 강조색5 11" xfId="242"/>
    <cellStyle name="40% - 강조색5 12" xfId="243"/>
    <cellStyle name="40% - 강조색5 13" xfId="244"/>
    <cellStyle name="40% - 강조색5 13 2" xfId="245"/>
    <cellStyle name="40% - 강조색5 14" xfId="246"/>
    <cellStyle name="40% - 강조색5 15" xfId="247"/>
    <cellStyle name="40% - 강조색5 2" xfId="248"/>
    <cellStyle name="40% - 강조색5 3" xfId="249"/>
    <cellStyle name="40% - 강조색5 4" xfId="250"/>
    <cellStyle name="40% - 강조색5 5" xfId="251"/>
    <cellStyle name="40% - 강조색5 6" xfId="252"/>
    <cellStyle name="40% - 강조색5 7" xfId="253"/>
    <cellStyle name="40% - 강조색5 8" xfId="254"/>
    <cellStyle name="40% - 강조색5 9" xfId="255"/>
    <cellStyle name="40% - 강조색6 10" xfId="256"/>
    <cellStyle name="40% - 강조색6 11" xfId="257"/>
    <cellStyle name="40% - 강조색6 12" xfId="258"/>
    <cellStyle name="40% - 강조색6 13" xfId="259"/>
    <cellStyle name="40% - 강조색6 13 2" xfId="260"/>
    <cellStyle name="40% - 강조색6 14" xfId="261"/>
    <cellStyle name="40% - 강조색6 15" xfId="262"/>
    <cellStyle name="40% - 강조색6 2" xfId="263"/>
    <cellStyle name="40% - 강조색6 3" xfId="264"/>
    <cellStyle name="40% - 강조색6 4" xfId="265"/>
    <cellStyle name="40% - 강조색6 5" xfId="266"/>
    <cellStyle name="40% - 강조색6 6" xfId="267"/>
    <cellStyle name="40% - 강조색6 7" xfId="268"/>
    <cellStyle name="40% - 강조색6 8" xfId="269"/>
    <cellStyle name="40% - 강조색6 9" xfId="270"/>
    <cellStyle name="60% - 강조색1 10" xfId="271"/>
    <cellStyle name="60% - 강조색1 10 2" xfId="272"/>
    <cellStyle name="60% - 강조색1 11" xfId="273"/>
    <cellStyle name="60% - 강조색1 11 2" xfId="274"/>
    <cellStyle name="60% - 강조색1 12" xfId="275"/>
    <cellStyle name="60% - 강조색1 12 2" xfId="276"/>
    <cellStyle name="60% - 강조색1 13" xfId="277"/>
    <cellStyle name="60% - 강조색1 13 2" xfId="278"/>
    <cellStyle name="60% - 강조색1 13 2 2" xfId="279"/>
    <cellStyle name="60% - 강조색1 13 3" xfId="280"/>
    <cellStyle name="60% - 강조색1 14" xfId="281"/>
    <cellStyle name="60% - 강조색1 14 2" xfId="282"/>
    <cellStyle name="60% - 강조색1 15" xfId="283"/>
    <cellStyle name="60% - 강조색1 15 2" xfId="284"/>
    <cellStyle name="60% - 강조색1 2" xfId="285"/>
    <cellStyle name="60% - 강조색1 2 2" xfId="286"/>
    <cellStyle name="60% - 강조색1 3" xfId="287"/>
    <cellStyle name="60% - 강조색1 3 2" xfId="288"/>
    <cellStyle name="60% - 강조색1 4" xfId="289"/>
    <cellStyle name="60% - 강조색1 4 2" xfId="290"/>
    <cellStyle name="60% - 강조색1 5" xfId="291"/>
    <cellStyle name="60% - 강조색1 5 2" xfId="292"/>
    <cellStyle name="60% - 강조색1 6" xfId="293"/>
    <cellStyle name="60% - 강조색1 6 2" xfId="294"/>
    <cellStyle name="60% - 강조색1 7" xfId="295"/>
    <cellStyle name="60% - 강조색1 7 2" xfId="296"/>
    <cellStyle name="60% - 강조색1 8" xfId="297"/>
    <cellStyle name="60% - 강조색1 8 2" xfId="298"/>
    <cellStyle name="60% - 강조색1 9" xfId="299"/>
    <cellStyle name="60% - 강조색1 9 2" xfId="300"/>
    <cellStyle name="60% - 강조색2 10" xfId="301"/>
    <cellStyle name="60% - 강조색2 10 2" xfId="302"/>
    <cellStyle name="60% - 강조색2 11" xfId="303"/>
    <cellStyle name="60% - 강조색2 11 2" xfId="304"/>
    <cellStyle name="60% - 강조색2 12" xfId="305"/>
    <cellStyle name="60% - 강조색2 12 2" xfId="306"/>
    <cellStyle name="60% - 강조색2 13" xfId="307"/>
    <cellStyle name="60% - 강조색2 13 2" xfId="308"/>
    <cellStyle name="60% - 강조색2 13 2 2" xfId="309"/>
    <cellStyle name="60% - 강조색2 13 3" xfId="310"/>
    <cellStyle name="60% - 강조색2 14" xfId="311"/>
    <cellStyle name="60% - 강조색2 14 2" xfId="312"/>
    <cellStyle name="60% - 강조색2 15" xfId="313"/>
    <cellStyle name="60% - 강조색2 15 2" xfId="314"/>
    <cellStyle name="60% - 강조색2 2" xfId="315"/>
    <cellStyle name="60% - 강조색2 2 2" xfId="316"/>
    <cellStyle name="60% - 강조색2 3" xfId="317"/>
    <cellStyle name="60% - 강조색2 3 2" xfId="318"/>
    <cellStyle name="60% - 강조색2 4" xfId="319"/>
    <cellStyle name="60% - 강조색2 4 2" xfId="320"/>
    <cellStyle name="60% - 강조색2 5" xfId="321"/>
    <cellStyle name="60% - 강조색2 5 2" xfId="322"/>
    <cellStyle name="60% - 강조색2 6" xfId="323"/>
    <cellStyle name="60% - 강조색2 6 2" xfId="324"/>
    <cellStyle name="60% - 강조색2 7" xfId="325"/>
    <cellStyle name="60% - 강조색2 7 2" xfId="326"/>
    <cellStyle name="60% - 강조색2 8" xfId="327"/>
    <cellStyle name="60% - 강조색2 8 2" xfId="328"/>
    <cellStyle name="60% - 강조색2 9" xfId="329"/>
    <cellStyle name="60% - 강조색2 9 2" xfId="330"/>
    <cellStyle name="60% - 강조색3 10" xfId="331"/>
    <cellStyle name="60% - 강조색3 10 2" xfId="332"/>
    <cellStyle name="60% - 강조색3 11" xfId="333"/>
    <cellStyle name="60% - 강조색3 11 2" xfId="334"/>
    <cellStyle name="60% - 강조색3 12" xfId="335"/>
    <cellStyle name="60% - 강조색3 12 2" xfId="336"/>
    <cellStyle name="60% - 강조색3 13" xfId="337"/>
    <cellStyle name="60% - 강조색3 13 2" xfId="338"/>
    <cellStyle name="60% - 강조색3 13 2 2" xfId="339"/>
    <cellStyle name="60% - 강조색3 13 3" xfId="340"/>
    <cellStyle name="60% - 강조색3 14" xfId="341"/>
    <cellStyle name="60% - 강조색3 14 2" xfId="342"/>
    <cellStyle name="60% - 강조색3 15" xfId="343"/>
    <cellStyle name="60% - 강조색3 15 2" xfId="344"/>
    <cellStyle name="60% - 강조색3 2" xfId="345"/>
    <cellStyle name="60% - 강조색3 2 2" xfId="346"/>
    <cellStyle name="60% - 강조색3 3" xfId="347"/>
    <cellStyle name="60% - 강조색3 3 2" xfId="348"/>
    <cellStyle name="60% - 강조색3 4" xfId="349"/>
    <cellStyle name="60% - 강조색3 4 2" xfId="350"/>
    <cellStyle name="60% - 강조색3 5" xfId="351"/>
    <cellStyle name="60% - 강조색3 5 2" xfId="352"/>
    <cellStyle name="60% - 강조색3 6" xfId="353"/>
    <cellStyle name="60% - 강조색3 6 2" xfId="354"/>
    <cellStyle name="60% - 강조색3 7" xfId="355"/>
    <cellStyle name="60% - 강조색3 7 2" xfId="356"/>
    <cellStyle name="60% - 강조색3 8" xfId="357"/>
    <cellStyle name="60% - 강조색3 8 2" xfId="358"/>
    <cellStyle name="60% - 강조색3 9" xfId="359"/>
    <cellStyle name="60% - 강조색3 9 2" xfId="360"/>
    <cellStyle name="60% - 강조색4 10" xfId="361"/>
    <cellStyle name="60% - 강조색4 10 2" xfId="362"/>
    <cellStyle name="60% - 강조색4 11" xfId="363"/>
    <cellStyle name="60% - 강조색4 11 2" xfId="364"/>
    <cellStyle name="60% - 강조색4 12" xfId="365"/>
    <cellStyle name="60% - 강조색4 12 2" xfId="366"/>
    <cellStyle name="60% - 강조색4 13" xfId="367"/>
    <cellStyle name="60% - 강조색4 13 2" xfId="368"/>
    <cellStyle name="60% - 강조색4 13 2 2" xfId="369"/>
    <cellStyle name="60% - 강조색4 13 3" xfId="370"/>
    <cellStyle name="60% - 강조색4 14" xfId="371"/>
    <cellStyle name="60% - 강조색4 14 2" xfId="372"/>
    <cellStyle name="60% - 강조색4 15" xfId="373"/>
    <cellStyle name="60% - 강조색4 15 2" xfId="374"/>
    <cellStyle name="60% - 강조색4 2" xfId="375"/>
    <cellStyle name="60% - 강조색4 2 2" xfId="376"/>
    <cellStyle name="60% - 강조색4 3" xfId="377"/>
    <cellStyle name="60% - 강조색4 3 2" xfId="378"/>
    <cellStyle name="60% - 강조색4 4" xfId="379"/>
    <cellStyle name="60% - 강조색4 4 2" xfId="380"/>
    <cellStyle name="60% - 강조색4 5" xfId="381"/>
    <cellStyle name="60% - 강조색4 5 2" xfId="382"/>
    <cellStyle name="60% - 강조색4 6" xfId="383"/>
    <cellStyle name="60% - 강조색4 6 2" xfId="384"/>
    <cellStyle name="60% - 강조색4 7" xfId="385"/>
    <cellStyle name="60% - 강조색4 7 2" xfId="386"/>
    <cellStyle name="60% - 강조색4 8" xfId="387"/>
    <cellStyle name="60% - 강조색4 8 2" xfId="388"/>
    <cellStyle name="60% - 강조색4 9" xfId="389"/>
    <cellStyle name="60% - 강조색4 9 2" xfId="390"/>
    <cellStyle name="60% - 강조색5 10" xfId="391"/>
    <cellStyle name="60% - 강조색5 10 2" xfId="392"/>
    <cellStyle name="60% - 강조색5 11" xfId="393"/>
    <cellStyle name="60% - 강조색5 11 2" xfId="394"/>
    <cellStyle name="60% - 강조색5 12" xfId="395"/>
    <cellStyle name="60% - 강조색5 12 2" xfId="396"/>
    <cellStyle name="60% - 강조색5 13" xfId="397"/>
    <cellStyle name="60% - 강조색5 13 2" xfId="398"/>
    <cellStyle name="60% - 강조색5 13 2 2" xfId="399"/>
    <cellStyle name="60% - 강조색5 13 3" xfId="400"/>
    <cellStyle name="60% - 강조색5 14" xfId="401"/>
    <cellStyle name="60% - 강조색5 14 2" xfId="402"/>
    <cellStyle name="60% - 강조색5 15" xfId="403"/>
    <cellStyle name="60% - 강조색5 15 2" xfId="404"/>
    <cellStyle name="60% - 강조색5 2" xfId="405"/>
    <cellStyle name="60% - 강조색5 2 2" xfId="406"/>
    <cellStyle name="60% - 강조색5 3" xfId="407"/>
    <cellStyle name="60% - 강조색5 3 2" xfId="408"/>
    <cellStyle name="60% - 강조색5 4" xfId="409"/>
    <cellStyle name="60% - 강조색5 4 2" xfId="410"/>
    <cellStyle name="60% - 강조색5 5" xfId="411"/>
    <cellStyle name="60% - 강조색5 5 2" xfId="412"/>
    <cellStyle name="60% - 강조색5 6" xfId="413"/>
    <cellStyle name="60% - 강조색5 6 2" xfId="414"/>
    <cellStyle name="60% - 강조색5 7" xfId="415"/>
    <cellStyle name="60% - 강조색5 7 2" xfId="416"/>
    <cellStyle name="60% - 강조색5 8" xfId="417"/>
    <cellStyle name="60% - 강조색5 8 2" xfId="418"/>
    <cellStyle name="60% - 강조색5 9" xfId="419"/>
    <cellStyle name="60% - 강조색5 9 2" xfId="420"/>
    <cellStyle name="60% - 강조색6 10" xfId="421"/>
    <cellStyle name="60% - 강조색6 10 2" xfId="422"/>
    <cellStyle name="60% - 강조색6 11" xfId="423"/>
    <cellStyle name="60% - 강조색6 11 2" xfId="424"/>
    <cellStyle name="60% - 강조색6 12" xfId="425"/>
    <cellStyle name="60% - 강조색6 12 2" xfId="426"/>
    <cellStyle name="60% - 강조색6 13" xfId="427"/>
    <cellStyle name="60% - 강조색6 13 2" xfId="428"/>
    <cellStyle name="60% - 강조색6 13 2 2" xfId="429"/>
    <cellStyle name="60% - 강조색6 13 3" xfId="430"/>
    <cellStyle name="60% - 강조색6 14" xfId="431"/>
    <cellStyle name="60% - 강조색6 14 2" xfId="432"/>
    <cellStyle name="60% - 강조색6 15" xfId="433"/>
    <cellStyle name="60% - 강조색6 15 2" xfId="434"/>
    <cellStyle name="60% - 강조색6 2" xfId="435"/>
    <cellStyle name="60% - 강조색6 2 2" xfId="436"/>
    <cellStyle name="60% - 강조색6 3" xfId="437"/>
    <cellStyle name="60% - 강조색6 3 2" xfId="438"/>
    <cellStyle name="60% - 강조색6 4" xfId="439"/>
    <cellStyle name="60% - 강조색6 4 2" xfId="440"/>
    <cellStyle name="60% - 강조색6 5" xfId="441"/>
    <cellStyle name="60% - 강조색6 5 2" xfId="442"/>
    <cellStyle name="60% - 강조색6 6" xfId="443"/>
    <cellStyle name="60% - 강조색6 6 2" xfId="444"/>
    <cellStyle name="60% - 강조색6 7" xfId="445"/>
    <cellStyle name="60% - 강조색6 7 2" xfId="446"/>
    <cellStyle name="60% - 강조색6 8" xfId="447"/>
    <cellStyle name="60% - 강조색6 8 2" xfId="448"/>
    <cellStyle name="60% - 강조색6 9" xfId="449"/>
    <cellStyle name="60% - 강조색6 9 2" xfId="450"/>
    <cellStyle name="A¨­￠￢￠O [0]_INQUIRY ￠?￥i¨u¡AAⓒ￢Aⓒª " xfId="451"/>
    <cellStyle name="A¨­￠￢￠O_INQUIRY ￠?￥i¨u¡AAⓒ￢Aⓒª " xfId="452"/>
    <cellStyle name="AeE­ [0]_AMT " xfId="453"/>
    <cellStyle name="AeE­_AMT " xfId="454"/>
    <cellStyle name="AeE¡ⓒ [0]_INQUIRY ￠?￥i¨u¡AAⓒ￢Aⓒª " xfId="455"/>
    <cellStyle name="AeE¡ⓒ_INQUIRY ￠?￥i¨u¡AAⓒ￢Aⓒª " xfId="456"/>
    <cellStyle name="AÞ¸¶ [0]_AN°y(1.25) " xfId="457"/>
    <cellStyle name="AÞ¸¶_AN°y(1.25) " xfId="458"/>
    <cellStyle name="C¡IA¨ª_¡ic¨u¡A¨￢I¨￢¡Æ AN¡Æe " xfId="459"/>
    <cellStyle name="C￥AØ_¿μ¾÷CoE² " xfId="460"/>
    <cellStyle name="Comma [0]_ SG&amp;A Bridge " xfId="461"/>
    <cellStyle name="Comma_ SG&amp;A Bridge " xfId="462"/>
    <cellStyle name="Comma0" xfId="463"/>
    <cellStyle name="Curren?_x0012_퐀_x0017_?" xfId="464"/>
    <cellStyle name="Currency [0]_ SG&amp;A Bridge " xfId="465"/>
    <cellStyle name="Currency_ SG&amp;A Bridge " xfId="466"/>
    <cellStyle name="Currency0" xfId="467"/>
    <cellStyle name="Date" xfId="468"/>
    <cellStyle name="Fixed" xfId="469"/>
    <cellStyle name="Header1" xfId="470"/>
    <cellStyle name="Header2" xfId="471"/>
    <cellStyle name="Heading 1" xfId="472"/>
    <cellStyle name="Heading 2" xfId="473"/>
    <cellStyle name="Normal_ SG&amp;A Bridge " xfId="474"/>
    <cellStyle name="Percent [2]" xfId="475"/>
    <cellStyle name="subhead" xfId="476"/>
    <cellStyle name="subhead 2" xfId="477"/>
    <cellStyle name="Total" xfId="478"/>
    <cellStyle name="강조색1 10" xfId="479"/>
    <cellStyle name="강조색1 11" xfId="480"/>
    <cellStyle name="강조색1 12" xfId="481"/>
    <cellStyle name="강조색1 13" xfId="482"/>
    <cellStyle name="강조색1 13 2" xfId="483"/>
    <cellStyle name="강조색1 14" xfId="484"/>
    <cellStyle name="강조색1 15" xfId="485"/>
    <cellStyle name="강조색1 2" xfId="486"/>
    <cellStyle name="강조색1 3" xfId="487"/>
    <cellStyle name="강조색1 4" xfId="488"/>
    <cellStyle name="강조색1 5" xfId="489"/>
    <cellStyle name="강조색1 6" xfId="490"/>
    <cellStyle name="강조색1 7" xfId="491"/>
    <cellStyle name="강조색1 8" xfId="492"/>
    <cellStyle name="강조색1 9" xfId="493"/>
    <cellStyle name="강조색2 10" xfId="494"/>
    <cellStyle name="강조색2 11" xfId="495"/>
    <cellStyle name="강조색2 12" xfId="496"/>
    <cellStyle name="강조색2 13" xfId="497"/>
    <cellStyle name="강조색2 13 2" xfId="498"/>
    <cellStyle name="강조색2 14" xfId="499"/>
    <cellStyle name="강조색2 15" xfId="500"/>
    <cellStyle name="강조색2 2" xfId="501"/>
    <cellStyle name="강조색2 3" xfId="502"/>
    <cellStyle name="강조색2 4" xfId="503"/>
    <cellStyle name="강조색2 5" xfId="504"/>
    <cellStyle name="강조색2 6" xfId="505"/>
    <cellStyle name="강조색2 7" xfId="506"/>
    <cellStyle name="강조색2 8" xfId="507"/>
    <cellStyle name="강조색2 9" xfId="508"/>
    <cellStyle name="강조색3 10" xfId="509"/>
    <cellStyle name="강조색3 11" xfId="510"/>
    <cellStyle name="강조색3 12" xfId="511"/>
    <cellStyle name="강조색3 13" xfId="512"/>
    <cellStyle name="강조색3 13 2" xfId="513"/>
    <cellStyle name="강조색3 14" xfId="514"/>
    <cellStyle name="강조색3 15" xfId="515"/>
    <cellStyle name="강조색3 2" xfId="516"/>
    <cellStyle name="강조색3 3" xfId="517"/>
    <cellStyle name="강조색3 4" xfId="518"/>
    <cellStyle name="강조색3 5" xfId="519"/>
    <cellStyle name="강조색3 6" xfId="520"/>
    <cellStyle name="강조색3 7" xfId="521"/>
    <cellStyle name="강조색3 8" xfId="522"/>
    <cellStyle name="강조색3 9" xfId="523"/>
    <cellStyle name="강조색4 10" xfId="524"/>
    <cellStyle name="강조색4 11" xfId="525"/>
    <cellStyle name="강조색4 12" xfId="526"/>
    <cellStyle name="강조색4 13" xfId="527"/>
    <cellStyle name="강조색4 13 2" xfId="528"/>
    <cellStyle name="강조색4 14" xfId="529"/>
    <cellStyle name="강조색4 15" xfId="530"/>
    <cellStyle name="강조색4 2" xfId="531"/>
    <cellStyle name="강조색4 3" xfId="532"/>
    <cellStyle name="강조색4 4" xfId="533"/>
    <cellStyle name="강조색4 5" xfId="534"/>
    <cellStyle name="강조색4 6" xfId="535"/>
    <cellStyle name="강조색4 7" xfId="536"/>
    <cellStyle name="강조색4 8" xfId="537"/>
    <cellStyle name="강조색4 9" xfId="538"/>
    <cellStyle name="강조색5 10" xfId="539"/>
    <cellStyle name="강조색5 11" xfId="540"/>
    <cellStyle name="강조색5 12" xfId="541"/>
    <cellStyle name="강조색5 13" xfId="542"/>
    <cellStyle name="강조색5 13 2" xfId="543"/>
    <cellStyle name="강조색5 14" xfId="544"/>
    <cellStyle name="강조색5 15" xfId="545"/>
    <cellStyle name="강조색5 2" xfId="546"/>
    <cellStyle name="강조색5 3" xfId="547"/>
    <cellStyle name="강조색5 4" xfId="548"/>
    <cellStyle name="강조색5 5" xfId="549"/>
    <cellStyle name="강조색5 6" xfId="550"/>
    <cellStyle name="강조색5 7" xfId="551"/>
    <cellStyle name="강조색5 8" xfId="552"/>
    <cellStyle name="강조색5 9" xfId="553"/>
    <cellStyle name="강조색6 10" xfId="554"/>
    <cellStyle name="강조색6 11" xfId="555"/>
    <cellStyle name="강조색6 12" xfId="556"/>
    <cellStyle name="강조색6 13" xfId="557"/>
    <cellStyle name="강조색6 13 2" xfId="558"/>
    <cellStyle name="강조색6 14" xfId="559"/>
    <cellStyle name="강조색6 15" xfId="560"/>
    <cellStyle name="강조색6 2" xfId="561"/>
    <cellStyle name="강조색6 3" xfId="562"/>
    <cellStyle name="강조색6 4" xfId="563"/>
    <cellStyle name="강조색6 5" xfId="564"/>
    <cellStyle name="강조색6 6" xfId="565"/>
    <cellStyle name="강조색6 7" xfId="566"/>
    <cellStyle name="강조색6 8" xfId="567"/>
    <cellStyle name="강조색6 9" xfId="568"/>
    <cellStyle name="경고문 10" xfId="569"/>
    <cellStyle name="경고문 11" xfId="570"/>
    <cellStyle name="경고문 12" xfId="571"/>
    <cellStyle name="경고문 13" xfId="572"/>
    <cellStyle name="경고문 13 2" xfId="573"/>
    <cellStyle name="경고문 14" xfId="574"/>
    <cellStyle name="경고문 15" xfId="575"/>
    <cellStyle name="경고문 2" xfId="576"/>
    <cellStyle name="경고문 3" xfId="577"/>
    <cellStyle name="경고문 4" xfId="578"/>
    <cellStyle name="경고문 5" xfId="579"/>
    <cellStyle name="경고문 6" xfId="580"/>
    <cellStyle name="경고문 7" xfId="581"/>
    <cellStyle name="경고문 8" xfId="582"/>
    <cellStyle name="경고문 9" xfId="583"/>
    <cellStyle name="계산 10" xfId="584"/>
    <cellStyle name="계산 11" xfId="585"/>
    <cellStyle name="계산 12" xfId="586"/>
    <cellStyle name="계산 13" xfId="587"/>
    <cellStyle name="계산 13 2" xfId="588"/>
    <cellStyle name="계산 14" xfId="589"/>
    <cellStyle name="계산 15" xfId="590"/>
    <cellStyle name="계산 2" xfId="591"/>
    <cellStyle name="계산 3" xfId="592"/>
    <cellStyle name="계산 4" xfId="593"/>
    <cellStyle name="계산 5" xfId="594"/>
    <cellStyle name="계산 6" xfId="595"/>
    <cellStyle name="계산 7" xfId="596"/>
    <cellStyle name="계산 8" xfId="597"/>
    <cellStyle name="계산 9" xfId="598"/>
    <cellStyle name="나쁨 10" xfId="599"/>
    <cellStyle name="나쁨 11" xfId="600"/>
    <cellStyle name="나쁨 12" xfId="601"/>
    <cellStyle name="나쁨 13" xfId="602"/>
    <cellStyle name="나쁨 13 2" xfId="603"/>
    <cellStyle name="나쁨 14" xfId="604"/>
    <cellStyle name="나쁨 15" xfId="605"/>
    <cellStyle name="나쁨 2" xfId="606"/>
    <cellStyle name="나쁨 3" xfId="607"/>
    <cellStyle name="나쁨 4" xfId="608"/>
    <cellStyle name="나쁨 5" xfId="609"/>
    <cellStyle name="나쁨 6" xfId="610"/>
    <cellStyle name="나쁨 7" xfId="611"/>
    <cellStyle name="나쁨 8" xfId="612"/>
    <cellStyle name="나쁨 9" xfId="613"/>
    <cellStyle name="똿뗦먛귟 [0.00]_PRODUCT DETAIL Q1" xfId="614"/>
    <cellStyle name="똿뗦먛귟_PRODUCT DETAIL Q1" xfId="615"/>
    <cellStyle name="로마자" xfId="616"/>
    <cellStyle name="메모 10" xfId="617"/>
    <cellStyle name="메모 11" xfId="618"/>
    <cellStyle name="메모 12" xfId="619"/>
    <cellStyle name="메모 13" xfId="620"/>
    <cellStyle name="메모 13 2" xfId="621"/>
    <cellStyle name="메모 14" xfId="622"/>
    <cellStyle name="메모 15" xfId="623"/>
    <cellStyle name="메모 2" xfId="624"/>
    <cellStyle name="메모 3" xfId="625"/>
    <cellStyle name="메모 4" xfId="626"/>
    <cellStyle name="메모 5" xfId="627"/>
    <cellStyle name="메모 6" xfId="628"/>
    <cellStyle name="메모 7" xfId="629"/>
    <cellStyle name="메모 8" xfId="630"/>
    <cellStyle name="메모 9" xfId="631"/>
    <cellStyle name="믅됞 [0.00]_PRODUCT DETAIL Q1" xfId="632"/>
    <cellStyle name="믅됞_PRODUCT DETAIL Q1" xfId="633"/>
    <cellStyle name="보통 10" xfId="634"/>
    <cellStyle name="보통 11" xfId="635"/>
    <cellStyle name="보통 12" xfId="636"/>
    <cellStyle name="보통 13" xfId="637"/>
    <cellStyle name="보통 13 2" xfId="638"/>
    <cellStyle name="보통 14" xfId="639"/>
    <cellStyle name="보통 15" xfId="640"/>
    <cellStyle name="보통 2" xfId="641"/>
    <cellStyle name="보통 3" xfId="642"/>
    <cellStyle name="보통 4" xfId="643"/>
    <cellStyle name="보통 5" xfId="644"/>
    <cellStyle name="보통 6" xfId="645"/>
    <cellStyle name="보통 7" xfId="646"/>
    <cellStyle name="보통 8" xfId="647"/>
    <cellStyle name="보통 9" xfId="648"/>
    <cellStyle name="뷭?_BOOKSHIP" xfId="649"/>
    <cellStyle name="설명 텍스트 10" xfId="650"/>
    <cellStyle name="설명 텍스트 11" xfId="651"/>
    <cellStyle name="설명 텍스트 12" xfId="652"/>
    <cellStyle name="설명 텍스트 13" xfId="653"/>
    <cellStyle name="설명 텍스트 13 2" xfId="654"/>
    <cellStyle name="설명 텍스트 14" xfId="655"/>
    <cellStyle name="설명 텍스트 15" xfId="656"/>
    <cellStyle name="설명 텍스트 2" xfId="657"/>
    <cellStyle name="설명 텍스트 3" xfId="658"/>
    <cellStyle name="설명 텍스트 4" xfId="659"/>
    <cellStyle name="설명 텍스트 5" xfId="660"/>
    <cellStyle name="설명 텍스트 6" xfId="661"/>
    <cellStyle name="설명 텍스트 7" xfId="662"/>
    <cellStyle name="설명 텍스트 8" xfId="663"/>
    <cellStyle name="설명 텍스트 9" xfId="664"/>
    <cellStyle name="셀 확인 10" xfId="665"/>
    <cellStyle name="셀 확인 11" xfId="666"/>
    <cellStyle name="셀 확인 12" xfId="667"/>
    <cellStyle name="셀 확인 13" xfId="668"/>
    <cellStyle name="셀 확인 13 2" xfId="669"/>
    <cellStyle name="셀 확인 14" xfId="670"/>
    <cellStyle name="셀 확인 15" xfId="671"/>
    <cellStyle name="셀 확인 2" xfId="672"/>
    <cellStyle name="셀 확인 3" xfId="673"/>
    <cellStyle name="셀 확인 4" xfId="674"/>
    <cellStyle name="셀 확인 5" xfId="675"/>
    <cellStyle name="셀 확인 6" xfId="676"/>
    <cellStyle name="셀 확인 7" xfId="677"/>
    <cellStyle name="셀 확인 8" xfId="678"/>
    <cellStyle name="셀 확인 9" xfId="679"/>
    <cellStyle name="쉼표 [0] 2" xfId="680"/>
    <cellStyle name="쉼표 [0] 2 2" xfId="681"/>
    <cellStyle name="쉼표 [0] 2 2 2" xfId="682"/>
    <cellStyle name="쉼표 [0] 2 2 2 2" xfId="683"/>
    <cellStyle name="쉼표 [0] 2 2 3" xfId="684"/>
    <cellStyle name="쉼표 [0] 2 2 3 2" xfId="685"/>
    <cellStyle name="쉼표 [0] 2 2 4" xfId="686"/>
    <cellStyle name="쉼표 [0] 2 3" xfId="687"/>
    <cellStyle name="쉼표 [0] 3" xfId="688"/>
    <cellStyle name="쉼표 [0] 3 2" xfId="689"/>
    <cellStyle name="스타일 1" xfId="690"/>
    <cellStyle name="연결된 셀 10" xfId="691"/>
    <cellStyle name="연결된 셀 11" xfId="692"/>
    <cellStyle name="연결된 셀 12" xfId="693"/>
    <cellStyle name="연결된 셀 13" xfId="694"/>
    <cellStyle name="연결된 셀 13 2" xfId="695"/>
    <cellStyle name="연결된 셀 14" xfId="696"/>
    <cellStyle name="연결된 셀 15" xfId="697"/>
    <cellStyle name="연결된 셀 2" xfId="698"/>
    <cellStyle name="연결된 셀 3" xfId="699"/>
    <cellStyle name="연결된 셀 4" xfId="700"/>
    <cellStyle name="연결된 셀 5" xfId="701"/>
    <cellStyle name="연결된 셀 6" xfId="702"/>
    <cellStyle name="연결된 셀 7" xfId="703"/>
    <cellStyle name="연결된 셀 8" xfId="704"/>
    <cellStyle name="연결된 셀 9" xfId="705"/>
    <cellStyle name="요약 10" xfId="706"/>
    <cellStyle name="요약 11" xfId="707"/>
    <cellStyle name="요약 12" xfId="708"/>
    <cellStyle name="요약 13" xfId="709"/>
    <cellStyle name="요약 13 2" xfId="710"/>
    <cellStyle name="요약 14" xfId="711"/>
    <cellStyle name="요약 15" xfId="712"/>
    <cellStyle name="요약 2" xfId="713"/>
    <cellStyle name="요약 3" xfId="714"/>
    <cellStyle name="요약 4" xfId="715"/>
    <cellStyle name="요약 5" xfId="716"/>
    <cellStyle name="요약 6" xfId="717"/>
    <cellStyle name="요약 7" xfId="718"/>
    <cellStyle name="요약 8" xfId="719"/>
    <cellStyle name="요약 9" xfId="720"/>
    <cellStyle name="입력 10" xfId="721"/>
    <cellStyle name="입력 11" xfId="722"/>
    <cellStyle name="입력 12" xfId="723"/>
    <cellStyle name="입력 13" xfId="724"/>
    <cellStyle name="입력 13 2" xfId="725"/>
    <cellStyle name="입력 14" xfId="726"/>
    <cellStyle name="입력 15" xfId="727"/>
    <cellStyle name="입력 2" xfId="728"/>
    <cellStyle name="입력 3" xfId="729"/>
    <cellStyle name="입력 4" xfId="730"/>
    <cellStyle name="입력 5" xfId="731"/>
    <cellStyle name="입력 6" xfId="732"/>
    <cellStyle name="입력 7" xfId="733"/>
    <cellStyle name="입력 8" xfId="734"/>
    <cellStyle name="입력 9" xfId="735"/>
    <cellStyle name="제목 1 10" xfId="736"/>
    <cellStyle name="제목 1 11" xfId="737"/>
    <cellStyle name="제목 1 12" xfId="738"/>
    <cellStyle name="제목 1 13" xfId="739"/>
    <cellStyle name="제목 1 13 2" xfId="740"/>
    <cellStyle name="제목 1 14" xfId="741"/>
    <cellStyle name="제목 1 15" xfId="742"/>
    <cellStyle name="제목 1 2" xfId="743"/>
    <cellStyle name="제목 1 3" xfId="744"/>
    <cellStyle name="제목 1 4" xfId="745"/>
    <cellStyle name="제목 1 5" xfId="746"/>
    <cellStyle name="제목 1 6" xfId="747"/>
    <cellStyle name="제목 1 7" xfId="748"/>
    <cellStyle name="제목 1 8" xfId="749"/>
    <cellStyle name="제목 1 9" xfId="750"/>
    <cellStyle name="제목 10" xfId="751"/>
    <cellStyle name="제목 11" xfId="752"/>
    <cellStyle name="제목 12" xfId="753"/>
    <cellStyle name="제목 13" xfId="754"/>
    <cellStyle name="제목 14" xfId="755"/>
    <cellStyle name="제목 15" xfId="756"/>
    <cellStyle name="제목 16" xfId="757"/>
    <cellStyle name="제목 16 2" xfId="758"/>
    <cellStyle name="제목 17" xfId="759"/>
    <cellStyle name="제목 18" xfId="760"/>
    <cellStyle name="제목 2 10" xfId="761"/>
    <cellStyle name="제목 2 11" xfId="762"/>
    <cellStyle name="제목 2 12" xfId="763"/>
    <cellStyle name="제목 2 13" xfId="764"/>
    <cellStyle name="제목 2 13 2" xfId="765"/>
    <cellStyle name="제목 2 14" xfId="766"/>
    <cellStyle name="제목 2 15" xfId="767"/>
    <cellStyle name="제목 2 2" xfId="768"/>
    <cellStyle name="제목 2 3" xfId="769"/>
    <cellStyle name="제목 2 4" xfId="770"/>
    <cellStyle name="제목 2 5" xfId="771"/>
    <cellStyle name="제목 2 6" xfId="772"/>
    <cellStyle name="제목 2 7" xfId="773"/>
    <cellStyle name="제목 2 8" xfId="774"/>
    <cellStyle name="제목 2 9" xfId="775"/>
    <cellStyle name="제목 3 10" xfId="776"/>
    <cellStyle name="제목 3 10 2" xfId="777"/>
    <cellStyle name="제목 3 11" xfId="778"/>
    <cellStyle name="제목 3 11 2" xfId="779"/>
    <cellStyle name="제목 3 12" xfId="780"/>
    <cellStyle name="제목 3 12 2" xfId="781"/>
    <cellStyle name="제목 3 13" xfId="782"/>
    <cellStyle name="제목 3 13 2" xfId="783"/>
    <cellStyle name="제목 3 13 2 2" xfId="784"/>
    <cellStyle name="제목 3 13 3" xfId="785"/>
    <cellStyle name="제목 3 14" xfId="786"/>
    <cellStyle name="제목 3 14 2" xfId="787"/>
    <cellStyle name="제목 3 15" xfId="788"/>
    <cellStyle name="제목 3 15 2" xfId="789"/>
    <cellStyle name="제목 3 2" xfId="790"/>
    <cellStyle name="제목 3 2 2" xfId="791"/>
    <cellStyle name="제목 3 3" xfId="792"/>
    <cellStyle name="제목 3 3 2" xfId="793"/>
    <cellStyle name="제목 3 4" xfId="794"/>
    <cellStyle name="제목 3 4 2" xfId="795"/>
    <cellStyle name="제목 3 5" xfId="796"/>
    <cellStyle name="제목 3 5 2" xfId="797"/>
    <cellStyle name="제목 3 6" xfId="798"/>
    <cellStyle name="제목 3 6 2" xfId="799"/>
    <cellStyle name="제목 3 7" xfId="800"/>
    <cellStyle name="제목 3 7 2" xfId="801"/>
    <cellStyle name="제목 3 8" xfId="802"/>
    <cellStyle name="제목 3 8 2" xfId="803"/>
    <cellStyle name="제목 3 9" xfId="804"/>
    <cellStyle name="제목 3 9 2" xfId="805"/>
    <cellStyle name="제목 4 10" xfId="806"/>
    <cellStyle name="제목 4 11" xfId="807"/>
    <cellStyle name="제목 4 12" xfId="808"/>
    <cellStyle name="제목 4 13" xfId="809"/>
    <cellStyle name="제목 4 13 2" xfId="810"/>
    <cellStyle name="제목 4 14" xfId="811"/>
    <cellStyle name="제목 4 15" xfId="812"/>
    <cellStyle name="제목 4 2" xfId="813"/>
    <cellStyle name="제목 4 3" xfId="814"/>
    <cellStyle name="제목 4 4" xfId="815"/>
    <cellStyle name="제목 4 5" xfId="816"/>
    <cellStyle name="제목 4 6" xfId="817"/>
    <cellStyle name="제목 4 7" xfId="818"/>
    <cellStyle name="제목 4 8" xfId="819"/>
    <cellStyle name="제목 4 9" xfId="820"/>
    <cellStyle name="제목 5" xfId="821"/>
    <cellStyle name="제목 6" xfId="822"/>
    <cellStyle name="제목 7" xfId="823"/>
    <cellStyle name="제목 8" xfId="824"/>
    <cellStyle name="제목 9" xfId="825"/>
    <cellStyle name="좋음 10" xfId="826"/>
    <cellStyle name="좋음 11" xfId="827"/>
    <cellStyle name="좋음 12" xfId="828"/>
    <cellStyle name="좋음 13" xfId="829"/>
    <cellStyle name="좋음 13 2" xfId="830"/>
    <cellStyle name="좋음 14" xfId="831"/>
    <cellStyle name="좋음 15" xfId="832"/>
    <cellStyle name="좋음 2" xfId="833"/>
    <cellStyle name="좋음 3" xfId="834"/>
    <cellStyle name="좋음 4" xfId="835"/>
    <cellStyle name="좋음 5" xfId="836"/>
    <cellStyle name="좋음 6" xfId="837"/>
    <cellStyle name="좋음 7" xfId="838"/>
    <cellStyle name="좋음 8" xfId="839"/>
    <cellStyle name="좋음 9" xfId="840"/>
    <cellStyle name="쪽번호" xfId="841"/>
    <cellStyle name="출력 10" xfId="842"/>
    <cellStyle name="출력 11" xfId="843"/>
    <cellStyle name="출력 12" xfId="844"/>
    <cellStyle name="출력 13" xfId="845"/>
    <cellStyle name="출력 13 2" xfId="846"/>
    <cellStyle name="출력 14" xfId="847"/>
    <cellStyle name="출력 15" xfId="848"/>
    <cellStyle name="출력 2" xfId="849"/>
    <cellStyle name="출력 3" xfId="850"/>
    <cellStyle name="출력 4" xfId="851"/>
    <cellStyle name="출력 5" xfId="852"/>
    <cellStyle name="출력 6" xfId="853"/>
    <cellStyle name="출력 7" xfId="854"/>
    <cellStyle name="출력 8" xfId="855"/>
    <cellStyle name="출력 9" xfId="856"/>
    <cellStyle name="콤마 [0]_ 견적기준 FLOW " xfId="857"/>
    <cellStyle name="콤마_ 견적기준 FLOW " xfId="858"/>
    <cellStyle name="표준" xfId="0" builtinId="0"/>
    <cellStyle name="표준 10" xfId="859"/>
    <cellStyle name="표준 11" xfId="860"/>
    <cellStyle name="표준 12" xfId="861"/>
    <cellStyle name="표준 13" xfId="862"/>
    <cellStyle name="표준 14" xfId="863"/>
    <cellStyle name="표준 15" xfId="864"/>
    <cellStyle name="표준 16" xfId="865"/>
    <cellStyle name="표준 17" xfId="866"/>
    <cellStyle name="표준 18" xfId="867"/>
    <cellStyle name="표준 19" xfId="868"/>
    <cellStyle name="표준 2" xfId="869"/>
    <cellStyle name="표준 2 2" xfId="870"/>
    <cellStyle name="표준 2 3" xfId="871"/>
    <cellStyle name="표준 20" xfId="872"/>
    <cellStyle name="표준 3" xfId="873"/>
    <cellStyle name="표준 3 2" xfId="874"/>
    <cellStyle name="표준 4" xfId="875"/>
    <cellStyle name="표준 4 2" xfId="876"/>
    <cellStyle name="표준 4 3" xfId="877"/>
    <cellStyle name="표준 4 3 2" xfId="878"/>
    <cellStyle name="표준 5" xfId="879"/>
    <cellStyle name="표준 5 2" xfId="880"/>
    <cellStyle name="표준 6" xfId="881"/>
    <cellStyle name="표준 7" xfId="882"/>
    <cellStyle name="표준 8" xfId="883"/>
    <cellStyle name="표준 9" xfId="884"/>
    <cellStyle name="표준_강원도" xfId="885"/>
    <cellStyle name="표준_경기도" xfId="886"/>
    <cellStyle name="표준_경기도_2" xfId="887"/>
    <cellStyle name="표준_경상남도" xfId="888"/>
    <cellStyle name="표준_경상남도_2" xfId="889"/>
    <cellStyle name="표준_경상북도" xfId="890"/>
    <cellStyle name="표준_경상북도_2" xfId="891"/>
    <cellStyle name="표준_고엽-세로_1" xfId="892"/>
    <cellStyle name="표준_고엽-세로_2" xfId="893"/>
    <cellStyle name="표준_광주광역시" xfId="894"/>
    <cellStyle name="표준_광주광역시_2" xfId="895"/>
    <cellStyle name="표준_대구광역시" xfId="896"/>
    <cellStyle name="표준_대구광역시_2" xfId="897"/>
    <cellStyle name="표준_대전광역시" xfId="898"/>
    <cellStyle name="표준_대전광역시_2" xfId="899"/>
    <cellStyle name="표준_부산광역시" xfId="900"/>
    <cellStyle name="표준_부산광역시_1" xfId="901"/>
    <cellStyle name="표준_서울특별시" xfId="902"/>
    <cellStyle name="표준_서울특별시_1" xfId="903"/>
    <cellStyle name="표준_서울특별시_3" xfId="904"/>
    <cellStyle name="표준_세종특별자치시" xfId="905"/>
    <cellStyle name="표준_세종특별자치시_2" xfId="906"/>
    <cellStyle name="표준_울산광역시" xfId="907"/>
    <cellStyle name="표준_울산광역시_2" xfId="908"/>
    <cellStyle name="표준_인천광역시" xfId="909"/>
    <cellStyle name="표준_인천광역시_2" xfId="910"/>
    <cellStyle name="표준_전라남도" xfId="911"/>
    <cellStyle name="표준_전라남도_2" xfId="912"/>
    <cellStyle name="표준_전라북도" xfId="913"/>
    <cellStyle name="표준_전라북도_2" xfId="914"/>
    <cellStyle name="표준_제주특별자치도" xfId="915"/>
    <cellStyle name="표준_제주특별자치도_2" xfId="916"/>
    <cellStyle name="표준_주소불명" xfId="917"/>
    <cellStyle name="표준_주소불명_3" xfId="918"/>
    <cellStyle name="표준_참전(총괄)" xfId="919"/>
    <cellStyle name="표준_참전(총괄)_1" xfId="920"/>
    <cellStyle name="표준_참전(총괄)_2" xfId="921"/>
    <cellStyle name="표준_참전통계산출(월말)" xfId="922"/>
    <cellStyle name="표준_충청남도" xfId="923"/>
    <cellStyle name="표준_충청남도_2" xfId="924"/>
    <cellStyle name="표준_충청북도" xfId="925"/>
    <cellStyle name="표준_충청북도_2" xfId="926"/>
    <cellStyle name="표준_해외거주" xfId="927"/>
    <cellStyle name="표준_해외거주_2" xfId="928"/>
    <cellStyle name="하이퍼링크 2" xfId="92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F0"/>
  </sheetPr>
  <dimension ref="A1:L50"/>
  <sheetViews>
    <sheetView showGridLines="0" tabSelected="1" topLeftCell="A13" zoomScale="85" zoomScaleNormal="85" zoomScaleSheetLayoutView="70" workbookViewId="0">
      <selection activeCell="E29" sqref="E29"/>
    </sheetView>
  </sheetViews>
  <sheetFormatPr defaultRowHeight="39.950000000000003" customHeight="1"/>
  <cols>
    <col min="1" max="1" width="15.5703125" style="7" customWidth="1"/>
    <col min="2" max="2" width="14.42578125" style="7" customWidth="1"/>
    <col min="3" max="6" width="10.42578125" style="7" customWidth="1"/>
    <col min="7" max="7" width="12.140625" style="7" customWidth="1"/>
    <col min="8" max="10" width="10.42578125" style="7" customWidth="1"/>
    <col min="11" max="11" width="17.7109375" style="7" customWidth="1"/>
    <col min="12" max="12" width="1.140625" style="7" customWidth="1"/>
    <col min="13" max="16384" width="9.140625" style="7"/>
  </cols>
  <sheetData>
    <row r="1" spans="1:12" s="2" customFormat="1" ht="25.5">
      <c r="A1" s="498"/>
      <c r="B1" s="498"/>
      <c r="C1" s="498"/>
      <c r="D1" s="498"/>
      <c r="E1" s="498"/>
      <c r="F1" s="498"/>
      <c r="G1" s="498"/>
      <c r="H1" s="498"/>
      <c r="I1" s="498"/>
      <c r="J1" s="498"/>
      <c r="K1" s="498"/>
      <c r="L1" s="1"/>
    </row>
    <row r="2" spans="1:12" s="2" customFormat="1" ht="26.25">
      <c r="A2" s="1220" t="s">
        <v>187</v>
      </c>
      <c r="B2" s="1220"/>
      <c r="C2" s="1220"/>
      <c r="D2" s="1220"/>
      <c r="E2" s="1220"/>
      <c r="F2" s="1220"/>
      <c r="G2" s="1220"/>
      <c r="H2" s="1220"/>
      <c r="I2" s="1220"/>
      <c r="J2" s="1220"/>
      <c r="K2" s="1220"/>
      <c r="L2" s="1"/>
    </row>
    <row r="3" spans="1:12" s="2" customFormat="1" ht="25.5">
      <c r="A3" s="499"/>
      <c r="B3" s="500"/>
      <c r="C3" s="500"/>
      <c r="D3" s="1222" t="s">
        <v>159</v>
      </c>
      <c r="E3" s="1222"/>
      <c r="F3" s="1222"/>
      <c r="G3" s="500"/>
      <c r="H3" s="500"/>
      <c r="I3" s="500"/>
      <c r="J3" s="500"/>
      <c r="K3" s="500"/>
      <c r="L3" s="1"/>
    </row>
    <row r="4" spans="1:12" s="2" customFormat="1" ht="25.5">
      <c r="A4" s="499"/>
      <c r="B4" s="500"/>
      <c r="C4" s="500"/>
      <c r="D4" s="501"/>
      <c r="E4" s="501"/>
      <c r="F4" s="501"/>
      <c r="G4" s="500"/>
      <c r="H4" s="500"/>
      <c r="I4" s="500"/>
      <c r="J4" s="500"/>
      <c r="K4" s="500"/>
      <c r="L4" s="1"/>
    </row>
    <row r="5" spans="1:12" s="2" customFormat="1" ht="25.5">
      <c r="A5" s="502" t="s">
        <v>87</v>
      </c>
      <c r="B5" s="498"/>
      <c r="C5" s="498"/>
      <c r="D5" s="498"/>
      <c r="E5" s="498"/>
      <c r="F5" s="498"/>
      <c r="G5" s="498"/>
      <c r="H5" s="498"/>
      <c r="I5" s="498"/>
      <c r="J5" s="498"/>
      <c r="K5" s="498"/>
      <c r="L5" s="1"/>
    </row>
    <row r="6" spans="1:12" s="4" customFormat="1" ht="21" thickBot="1">
      <c r="A6" s="498"/>
      <c r="B6" s="498"/>
      <c r="C6" s="498"/>
      <c r="D6" s="498"/>
      <c r="E6" s="498"/>
      <c r="F6" s="498"/>
      <c r="G6" s="498"/>
      <c r="H6" s="498"/>
      <c r="I6" s="1221" t="s">
        <v>188</v>
      </c>
      <c r="J6" s="1221"/>
      <c r="K6" s="1221"/>
      <c r="L6" s="3"/>
    </row>
    <row r="7" spans="1:12" s="5" customFormat="1" ht="21.75" thickTop="1" thickBot="1">
      <c r="A7" s="503" t="s">
        <v>69</v>
      </c>
      <c r="B7" s="504" t="s">
        <v>1</v>
      </c>
      <c r="C7" s="506" t="s">
        <v>11</v>
      </c>
      <c r="D7" s="506" t="s">
        <v>12</v>
      </c>
      <c r="E7" s="506" t="s">
        <v>13</v>
      </c>
      <c r="F7" s="506" t="s">
        <v>14</v>
      </c>
      <c r="G7" s="506" t="s">
        <v>15</v>
      </c>
      <c r="H7" s="506" t="s">
        <v>16</v>
      </c>
      <c r="I7" s="506" t="s">
        <v>17</v>
      </c>
      <c r="J7" s="506" t="s">
        <v>18</v>
      </c>
      <c r="K7" s="1128" t="s">
        <v>166</v>
      </c>
      <c r="L7" s="6"/>
    </row>
    <row r="8" spans="1:12" ht="19.5">
      <c r="A8" s="507" t="s">
        <v>2</v>
      </c>
      <c r="B8" s="521">
        <v>184580</v>
      </c>
      <c r="C8" s="522">
        <v>0</v>
      </c>
      <c r="D8" s="522">
        <v>0</v>
      </c>
      <c r="E8" s="522">
        <v>2100</v>
      </c>
      <c r="F8" s="522">
        <v>89142</v>
      </c>
      <c r="G8" s="522">
        <v>60203</v>
      </c>
      <c r="H8" s="522">
        <v>8226</v>
      </c>
      <c r="I8" s="522">
        <v>16176</v>
      </c>
      <c r="J8" s="522">
        <v>8138</v>
      </c>
      <c r="K8" s="523">
        <v>595</v>
      </c>
      <c r="L8" s="8">
        <v>332</v>
      </c>
    </row>
    <row r="9" spans="1:12" s="10" customFormat="1" ht="17.25">
      <c r="A9" s="508" t="s">
        <v>71</v>
      </c>
      <c r="B9" s="524">
        <v>24230</v>
      </c>
      <c r="C9" s="1047">
        <v>0</v>
      </c>
      <c r="D9" s="1047">
        <v>0</v>
      </c>
      <c r="E9" s="1047">
        <v>0</v>
      </c>
      <c r="F9" s="1047">
        <v>0</v>
      </c>
      <c r="G9" s="1047">
        <v>8</v>
      </c>
      <c r="H9" s="1047">
        <v>1371</v>
      </c>
      <c r="I9" s="1047">
        <v>14359</v>
      </c>
      <c r="J9" s="1047">
        <v>7901</v>
      </c>
      <c r="K9" s="1048">
        <v>591</v>
      </c>
      <c r="L9" s="9">
        <v>332</v>
      </c>
    </row>
    <row r="10" spans="1:12" s="12" customFormat="1" ht="17.25">
      <c r="A10" s="509" t="s">
        <v>72</v>
      </c>
      <c r="B10" s="525">
        <v>159540</v>
      </c>
      <c r="C10" s="1049">
        <v>0</v>
      </c>
      <c r="D10" s="1049">
        <v>0</v>
      </c>
      <c r="E10" s="1049">
        <v>2100</v>
      </c>
      <c r="F10" s="1049">
        <v>89142</v>
      </c>
      <c r="G10" s="1049">
        <v>60194</v>
      </c>
      <c r="H10" s="1049">
        <v>6845</v>
      </c>
      <c r="I10" s="1049">
        <v>1233</v>
      </c>
      <c r="J10" s="1049">
        <v>26</v>
      </c>
      <c r="K10" s="1049">
        <v>0</v>
      </c>
      <c r="L10" s="11">
        <v>0</v>
      </c>
    </row>
    <row r="11" spans="1:12" s="12" customFormat="1" ht="18" thickBot="1">
      <c r="A11" s="510" t="s">
        <v>73</v>
      </c>
      <c r="B11" s="526">
        <v>810</v>
      </c>
      <c r="C11" s="1050">
        <v>0</v>
      </c>
      <c r="D11" s="1050">
        <v>0</v>
      </c>
      <c r="E11" s="1050">
        <v>0</v>
      </c>
      <c r="F11" s="1050">
        <v>0</v>
      </c>
      <c r="G11" s="1050">
        <v>1</v>
      </c>
      <c r="H11" s="1050">
        <v>10</v>
      </c>
      <c r="I11" s="1050">
        <v>584</v>
      </c>
      <c r="J11" s="1050">
        <v>211</v>
      </c>
      <c r="K11" s="1051">
        <v>4</v>
      </c>
      <c r="L11" s="11">
        <v>0</v>
      </c>
    </row>
    <row r="12" spans="1:12" s="12" customFormat="1" ht="18" thickTop="1">
      <c r="A12" s="511" t="s">
        <v>74</v>
      </c>
      <c r="B12" s="498"/>
      <c r="C12" s="498"/>
      <c r="D12" s="498"/>
      <c r="E12" s="498"/>
      <c r="F12" s="498"/>
      <c r="G12" s="498"/>
      <c r="H12" s="498"/>
      <c r="I12" s="498"/>
      <c r="J12" s="498"/>
      <c r="K12" s="498"/>
      <c r="L12" s="11"/>
    </row>
    <row r="13" spans="1:12" s="12" customFormat="1" ht="17.25">
      <c r="A13" s="498"/>
      <c r="B13" s="498"/>
      <c r="C13" s="498"/>
      <c r="D13" s="498"/>
      <c r="E13" s="498"/>
      <c r="F13" s="498"/>
      <c r="G13" s="498"/>
      <c r="H13" s="498"/>
      <c r="I13" s="498"/>
      <c r="J13" s="498"/>
      <c r="K13" s="498"/>
      <c r="L13" s="11"/>
    </row>
    <row r="14" spans="1:12" s="13" customFormat="1" ht="16.5">
      <c r="A14" s="498"/>
      <c r="B14" s="498"/>
      <c r="C14" s="498"/>
      <c r="D14" s="498"/>
      <c r="E14" s="498"/>
      <c r="F14" s="498"/>
      <c r="G14" s="498"/>
      <c r="H14" s="498"/>
      <c r="I14" s="498"/>
      <c r="J14" s="498"/>
      <c r="K14" s="498"/>
      <c r="L14" s="14"/>
    </row>
    <row r="15" spans="1:12" s="15" customFormat="1" ht="13.5">
      <c r="A15" s="512" t="s">
        <v>88</v>
      </c>
      <c r="B15" s="512"/>
      <c r="C15" s="512"/>
      <c r="D15" s="512"/>
      <c r="E15" s="512"/>
      <c r="F15" s="512"/>
      <c r="G15" s="512"/>
      <c r="H15" s="512"/>
      <c r="I15" s="512"/>
      <c r="J15" s="512"/>
      <c r="K15" s="512"/>
      <c r="L15" s="16"/>
    </row>
    <row r="16" spans="1:12" s="10" customFormat="1" ht="17.25">
      <c r="A16" s="512" t="s">
        <v>75</v>
      </c>
      <c r="B16" s="512"/>
      <c r="C16" s="512"/>
      <c r="D16" s="512"/>
      <c r="E16" s="512"/>
      <c r="F16" s="512"/>
      <c r="G16" s="512"/>
      <c r="H16" s="512"/>
      <c r="I16" s="512"/>
      <c r="J16" s="512"/>
      <c r="K16" s="512"/>
      <c r="L16" s="9"/>
    </row>
    <row r="17" spans="1:12" s="10" customFormat="1" ht="18" thickBot="1">
      <c r="A17" s="513"/>
      <c r="B17" s="498"/>
      <c r="C17" s="498"/>
      <c r="D17" s="498"/>
      <c r="E17" s="498"/>
      <c r="F17" s="498"/>
      <c r="G17" s="498"/>
      <c r="H17" s="498"/>
      <c r="I17" s="498"/>
      <c r="J17" s="498"/>
      <c r="K17" s="498"/>
      <c r="L17" s="9"/>
    </row>
    <row r="18" spans="1:12" s="12" customFormat="1" ht="18.75" thickTop="1" thickBot="1">
      <c r="A18" s="503" t="s">
        <v>69</v>
      </c>
      <c r="B18" s="504" t="s">
        <v>1</v>
      </c>
      <c r="C18" s="506" t="s">
        <v>11</v>
      </c>
      <c r="D18" s="506" t="s">
        <v>12</v>
      </c>
      <c r="E18" s="506" t="s">
        <v>13</v>
      </c>
      <c r="F18" s="506" t="s">
        <v>14</v>
      </c>
      <c r="G18" s="506" t="s">
        <v>15</v>
      </c>
      <c r="H18" s="506" t="s">
        <v>16</v>
      </c>
      <c r="I18" s="506" t="s">
        <v>17</v>
      </c>
      <c r="J18" s="506" t="s">
        <v>18</v>
      </c>
      <c r="K18" s="1128" t="s">
        <v>166</v>
      </c>
      <c r="L18" s="11"/>
    </row>
    <row r="19" spans="1:12" s="12" customFormat="1" ht="17.25">
      <c r="A19" s="514" t="s">
        <v>2</v>
      </c>
      <c r="B19" s="527">
        <v>96939</v>
      </c>
      <c r="C19" s="529">
        <v>0</v>
      </c>
      <c r="D19" s="529">
        <v>0</v>
      </c>
      <c r="E19" s="529">
        <v>1058</v>
      </c>
      <c r="F19" s="529">
        <v>44348</v>
      </c>
      <c r="G19" s="529">
        <v>27954</v>
      </c>
      <c r="H19" s="529">
        <v>4395</v>
      </c>
      <c r="I19" s="529">
        <v>12698</v>
      </c>
      <c r="J19" s="529">
        <v>6021</v>
      </c>
      <c r="K19" s="530">
        <v>465</v>
      </c>
      <c r="L19" s="11">
        <v>250</v>
      </c>
    </row>
    <row r="20" spans="1:12" s="12" customFormat="1" ht="17.25">
      <c r="A20" s="515" t="s">
        <v>71</v>
      </c>
      <c r="B20" s="531">
        <v>19645</v>
      </c>
      <c r="C20" s="1053">
        <v>0</v>
      </c>
      <c r="D20" s="1053">
        <v>0</v>
      </c>
      <c r="E20" s="1053">
        <v>0</v>
      </c>
      <c r="F20" s="1053">
        <v>0</v>
      </c>
      <c r="G20" s="1053">
        <v>7</v>
      </c>
      <c r="H20" s="1053">
        <v>1330</v>
      </c>
      <c r="I20" s="1053">
        <v>11899</v>
      </c>
      <c r="J20" s="1053">
        <v>5945</v>
      </c>
      <c r="K20" s="1054">
        <v>464</v>
      </c>
      <c r="L20" s="11">
        <v>250</v>
      </c>
    </row>
    <row r="21" spans="1:12" s="12" customFormat="1" ht="17.25">
      <c r="A21" s="516" t="s">
        <v>72</v>
      </c>
      <c r="B21" s="532">
        <v>77005</v>
      </c>
      <c r="C21" s="1056">
        <v>0</v>
      </c>
      <c r="D21" s="1056">
        <v>0</v>
      </c>
      <c r="E21" s="1056">
        <v>1058</v>
      </c>
      <c r="F21" s="1056">
        <v>44348</v>
      </c>
      <c r="G21" s="1056">
        <v>27947</v>
      </c>
      <c r="H21" s="1056">
        <v>3061</v>
      </c>
      <c r="I21" s="1056">
        <v>581</v>
      </c>
      <c r="J21" s="1056">
        <v>10</v>
      </c>
      <c r="K21" s="1057">
        <v>0</v>
      </c>
      <c r="L21" s="11">
        <v>0</v>
      </c>
    </row>
    <row r="22" spans="1:12" s="17" customFormat="1" ht="20.25" thickBot="1">
      <c r="A22" s="517" t="s">
        <v>73</v>
      </c>
      <c r="B22" s="533">
        <v>289</v>
      </c>
      <c r="C22" s="1059">
        <v>0</v>
      </c>
      <c r="D22" s="1059">
        <v>0</v>
      </c>
      <c r="E22" s="1059">
        <v>0</v>
      </c>
      <c r="F22" s="1059">
        <v>0</v>
      </c>
      <c r="G22" s="1059">
        <v>0</v>
      </c>
      <c r="H22" s="1059">
        <v>4</v>
      </c>
      <c r="I22" s="1059">
        <v>218</v>
      </c>
      <c r="J22" s="1059">
        <v>66</v>
      </c>
      <c r="K22" s="1060">
        <v>1</v>
      </c>
      <c r="L22" s="8">
        <v>0</v>
      </c>
    </row>
    <row r="23" spans="1:12" s="18" customFormat="1" ht="18" thickTop="1">
      <c r="A23" s="498"/>
      <c r="B23" s="498"/>
      <c r="C23" s="498"/>
      <c r="D23" s="498"/>
      <c r="E23" s="498"/>
      <c r="F23" s="498"/>
      <c r="G23" s="498"/>
      <c r="H23" s="498"/>
      <c r="I23" s="498"/>
      <c r="J23" s="498"/>
      <c r="K23" s="498"/>
      <c r="L23" s="9"/>
    </row>
    <row r="24" spans="1:12" s="10" customFormat="1" ht="17.25">
      <c r="A24" s="498"/>
      <c r="B24" s="498"/>
      <c r="C24" s="498"/>
      <c r="D24" s="498"/>
      <c r="E24" s="498"/>
      <c r="F24" s="498"/>
      <c r="G24" s="498"/>
      <c r="H24" s="498"/>
      <c r="I24" s="498"/>
      <c r="J24" s="498"/>
      <c r="K24" s="498"/>
      <c r="L24" s="9"/>
    </row>
    <row r="25" spans="1:12" s="12" customFormat="1" ht="17.25">
      <c r="A25" s="512" t="s">
        <v>89</v>
      </c>
      <c r="B25" s="512"/>
      <c r="C25" s="512"/>
      <c r="D25" s="512"/>
      <c r="E25" s="512"/>
      <c r="F25" s="512"/>
      <c r="G25" s="512"/>
      <c r="H25" s="512"/>
      <c r="I25" s="512"/>
      <c r="J25" s="512"/>
      <c r="K25" s="512"/>
      <c r="L25" s="11"/>
    </row>
    <row r="26" spans="1:12" s="12" customFormat="1" ht="17.25">
      <c r="A26" s="512" t="s">
        <v>76</v>
      </c>
      <c r="B26" s="512"/>
      <c r="C26" s="512"/>
      <c r="D26" s="512"/>
      <c r="E26" s="512"/>
      <c r="F26" s="512"/>
      <c r="G26" s="512"/>
      <c r="H26" s="512"/>
      <c r="I26" s="512"/>
      <c r="J26" s="512"/>
      <c r="K26" s="512"/>
      <c r="L26" s="11"/>
    </row>
    <row r="27" spans="1:12" s="12" customFormat="1" ht="18" thickBot="1">
      <c r="A27" s="513"/>
      <c r="B27" s="498"/>
      <c r="C27" s="498"/>
      <c r="D27" s="498"/>
      <c r="E27" s="498"/>
      <c r="F27" s="498"/>
      <c r="G27" s="498"/>
      <c r="H27" s="498"/>
      <c r="I27" s="498"/>
      <c r="J27" s="498"/>
      <c r="K27" s="498"/>
      <c r="L27" s="11"/>
    </row>
    <row r="28" spans="1:12" s="12" customFormat="1" ht="18.75" thickTop="1" thickBot="1">
      <c r="A28" s="503" t="s">
        <v>69</v>
      </c>
      <c r="B28" s="504" t="s">
        <v>1</v>
      </c>
      <c r="C28" s="506" t="s">
        <v>11</v>
      </c>
      <c r="D28" s="506" t="s">
        <v>12</v>
      </c>
      <c r="E28" s="506" t="s">
        <v>13</v>
      </c>
      <c r="F28" s="506" t="s">
        <v>14</v>
      </c>
      <c r="G28" s="506" t="s">
        <v>15</v>
      </c>
      <c r="H28" s="506" t="s">
        <v>16</v>
      </c>
      <c r="I28" s="506" t="s">
        <v>17</v>
      </c>
      <c r="J28" s="506" t="s">
        <v>18</v>
      </c>
      <c r="K28" s="1128" t="s">
        <v>166</v>
      </c>
      <c r="L28" s="11"/>
    </row>
    <row r="29" spans="1:12" ht="19.5">
      <c r="A29" s="514" t="s">
        <v>2</v>
      </c>
      <c r="B29" s="527">
        <v>87641</v>
      </c>
      <c r="C29" s="529">
        <v>0</v>
      </c>
      <c r="D29" s="529">
        <v>0</v>
      </c>
      <c r="E29" s="529">
        <v>1042</v>
      </c>
      <c r="F29" s="529">
        <v>44794</v>
      </c>
      <c r="G29" s="529">
        <v>32249</v>
      </c>
      <c r="H29" s="529">
        <v>3831</v>
      </c>
      <c r="I29" s="529">
        <v>3478</v>
      </c>
      <c r="J29" s="529">
        <v>2117</v>
      </c>
      <c r="K29" s="530">
        <v>130</v>
      </c>
      <c r="L29" s="8">
        <v>82</v>
      </c>
    </row>
    <row r="30" spans="1:12" s="20" customFormat="1" ht="19.5">
      <c r="A30" s="515" t="s">
        <v>71</v>
      </c>
      <c r="B30" s="531">
        <v>4585</v>
      </c>
      <c r="C30" s="1053">
        <v>0</v>
      </c>
      <c r="D30" s="1053">
        <v>0</v>
      </c>
      <c r="E30" s="1053">
        <v>0</v>
      </c>
      <c r="F30" s="1053">
        <v>0</v>
      </c>
      <c r="G30" s="1053">
        <v>1</v>
      </c>
      <c r="H30" s="1053">
        <v>41</v>
      </c>
      <c r="I30" s="1053">
        <v>2460</v>
      </c>
      <c r="J30" s="1053">
        <v>1956</v>
      </c>
      <c r="K30" s="1054">
        <v>127</v>
      </c>
      <c r="L30" s="1061">
        <v>82</v>
      </c>
    </row>
    <row r="31" spans="1:12" s="21" customFormat="1" ht="17.25">
      <c r="A31" s="516" t="s">
        <v>72</v>
      </c>
      <c r="B31" s="532">
        <v>82535</v>
      </c>
      <c r="C31" s="1056">
        <v>0</v>
      </c>
      <c r="D31" s="1056">
        <v>0</v>
      </c>
      <c r="E31" s="1056">
        <v>1042</v>
      </c>
      <c r="F31" s="1056">
        <v>44794</v>
      </c>
      <c r="G31" s="1056">
        <v>32247</v>
      </c>
      <c r="H31" s="1056">
        <v>3784</v>
      </c>
      <c r="I31" s="1056">
        <v>652</v>
      </c>
      <c r="J31" s="1056">
        <v>16</v>
      </c>
      <c r="K31" s="1057">
        <v>0</v>
      </c>
      <c r="L31" s="1061">
        <v>0</v>
      </c>
    </row>
    <row r="32" spans="1:12" s="21" customFormat="1" ht="18" thickBot="1">
      <c r="A32" s="517" t="s">
        <v>73</v>
      </c>
      <c r="B32" s="533">
        <v>521</v>
      </c>
      <c r="C32" s="1059">
        <v>0</v>
      </c>
      <c r="D32" s="1059">
        <v>0</v>
      </c>
      <c r="E32" s="1059">
        <v>0</v>
      </c>
      <c r="F32" s="1059">
        <v>0</v>
      </c>
      <c r="G32" s="1059">
        <v>1</v>
      </c>
      <c r="H32" s="1059">
        <v>6</v>
      </c>
      <c r="I32" s="1059">
        <v>366</v>
      </c>
      <c r="J32" s="1059">
        <v>145</v>
      </c>
      <c r="K32" s="1060">
        <v>3</v>
      </c>
      <c r="L32" s="1061">
        <v>0</v>
      </c>
    </row>
    <row r="33" spans="1:12" s="12" customFormat="1" ht="18" thickTop="1">
      <c r="A33" s="498"/>
      <c r="B33" s="498"/>
      <c r="C33" s="498"/>
      <c r="D33" s="498"/>
      <c r="E33" s="498"/>
      <c r="F33" s="498"/>
      <c r="G33" s="498"/>
      <c r="H33" s="498"/>
      <c r="I33" s="498"/>
      <c r="J33" s="498"/>
      <c r="K33" s="498"/>
      <c r="L33" s="16"/>
    </row>
    <row r="34" spans="1:12" s="12" customFormat="1" ht="17.25">
      <c r="A34" s="498"/>
      <c r="B34" s="498"/>
      <c r="C34" s="498"/>
      <c r="D34" s="498"/>
      <c r="E34" s="498"/>
      <c r="F34" s="498"/>
      <c r="G34" s="498"/>
      <c r="H34" s="498"/>
      <c r="I34" s="498"/>
      <c r="J34" s="498"/>
      <c r="K34" s="498"/>
      <c r="L34" s="16"/>
    </row>
    <row r="35" spans="1:12" s="12" customFormat="1" ht="17.25">
      <c r="A35" s="502" t="s">
        <v>77</v>
      </c>
      <c r="B35" s="498"/>
      <c r="C35" s="498"/>
      <c r="D35" s="498"/>
      <c r="E35" s="498"/>
      <c r="F35" s="498"/>
      <c r="G35" s="498"/>
      <c r="H35" s="498"/>
      <c r="I35" s="498"/>
      <c r="J35" s="498"/>
      <c r="K35" s="498"/>
      <c r="L35" s="16"/>
    </row>
    <row r="36" spans="1:12" s="15" customFormat="1" ht="13.5">
      <c r="A36" s="512" t="s">
        <v>78</v>
      </c>
      <c r="B36" s="512"/>
      <c r="C36" s="512"/>
      <c r="D36" s="512"/>
      <c r="E36" s="512"/>
      <c r="F36" s="512"/>
      <c r="G36" s="512"/>
      <c r="H36" s="512"/>
      <c r="I36" s="512"/>
      <c r="J36" s="512"/>
      <c r="K36" s="512"/>
      <c r="L36" s="16"/>
    </row>
    <row r="37" spans="1:12" s="23" customFormat="1" ht="17.25" thickBot="1">
      <c r="A37" s="498"/>
      <c r="B37" s="498"/>
      <c r="C37" s="498"/>
      <c r="D37" s="498"/>
      <c r="E37" s="498"/>
      <c r="F37" s="498"/>
      <c r="G37" s="498"/>
      <c r="H37" s="498"/>
      <c r="I37" s="498"/>
      <c r="J37" s="498"/>
      <c r="K37" s="498"/>
      <c r="L37" s="22"/>
    </row>
    <row r="38" spans="1:12" ht="28.5" thickTop="1" thickBot="1">
      <c r="A38" s="503" t="s">
        <v>69</v>
      </c>
      <c r="B38" s="504" t="s">
        <v>1</v>
      </c>
      <c r="C38" s="505" t="s">
        <v>19</v>
      </c>
      <c r="D38" s="506" t="s">
        <v>20</v>
      </c>
      <c r="E38" s="506" t="s">
        <v>21</v>
      </c>
      <c r="F38" s="518" t="s">
        <v>79</v>
      </c>
      <c r="G38" s="518" t="s">
        <v>80</v>
      </c>
      <c r="H38" s="518" t="s">
        <v>81</v>
      </c>
      <c r="I38" s="1128" t="s">
        <v>82</v>
      </c>
      <c r="J38" s="1129"/>
      <c r="K38" s="1129"/>
    </row>
    <row r="39" spans="1:12" ht="19.5">
      <c r="A39" s="514" t="s">
        <v>2</v>
      </c>
      <c r="B39" s="527">
        <v>110636</v>
      </c>
      <c r="C39" s="528">
        <v>55125</v>
      </c>
      <c r="D39" s="529">
        <v>1789</v>
      </c>
      <c r="E39" s="529">
        <v>9516</v>
      </c>
      <c r="F39" s="529">
        <v>4</v>
      </c>
      <c r="G39" s="529">
        <v>15</v>
      </c>
      <c r="H39" s="529">
        <v>44187</v>
      </c>
      <c r="I39" s="1130"/>
      <c r="J39" s="1131"/>
      <c r="K39" s="1131"/>
    </row>
    <row r="40" spans="1:12" ht="19.5">
      <c r="A40" s="515" t="s">
        <v>71</v>
      </c>
      <c r="B40" s="531">
        <v>5078</v>
      </c>
      <c r="C40" s="1052">
        <v>2183</v>
      </c>
      <c r="D40" s="1053">
        <v>233</v>
      </c>
      <c r="E40" s="1053">
        <v>2643</v>
      </c>
      <c r="F40" s="1053">
        <v>4</v>
      </c>
      <c r="G40" s="1053">
        <v>1</v>
      </c>
      <c r="H40" s="1053">
        <v>14</v>
      </c>
      <c r="I40" s="1132" t="s">
        <v>83</v>
      </c>
      <c r="J40" s="1133"/>
      <c r="K40" s="1133"/>
    </row>
    <row r="41" spans="1:12" ht="19.5">
      <c r="A41" s="516" t="s">
        <v>72</v>
      </c>
      <c r="B41" s="532">
        <v>104809</v>
      </c>
      <c r="C41" s="1055">
        <v>52695</v>
      </c>
      <c r="D41" s="1056">
        <v>1540</v>
      </c>
      <c r="E41" s="1056">
        <v>6549</v>
      </c>
      <c r="F41" s="1056">
        <v>0</v>
      </c>
      <c r="G41" s="1056">
        <v>14</v>
      </c>
      <c r="H41" s="1056">
        <v>44011</v>
      </c>
      <c r="I41" s="1124" t="s">
        <v>84</v>
      </c>
      <c r="J41" s="1125"/>
      <c r="K41" s="1125"/>
    </row>
    <row r="42" spans="1:12" ht="20.25" thickBot="1">
      <c r="A42" s="517" t="s">
        <v>73</v>
      </c>
      <c r="B42" s="533">
        <v>749</v>
      </c>
      <c r="C42" s="1058">
        <v>247</v>
      </c>
      <c r="D42" s="1059">
        <v>16</v>
      </c>
      <c r="E42" s="1059">
        <v>324</v>
      </c>
      <c r="F42" s="1059">
        <v>0</v>
      </c>
      <c r="G42" s="1059">
        <v>0</v>
      </c>
      <c r="H42" s="1059">
        <v>162</v>
      </c>
      <c r="I42" s="1126" t="s">
        <v>85</v>
      </c>
      <c r="J42" s="1127"/>
      <c r="K42" s="1127"/>
    </row>
    <row r="43" spans="1:12" ht="20.25" thickTop="1">
      <c r="A43" s="519" t="s">
        <v>86</v>
      </c>
      <c r="B43" s="520"/>
      <c r="C43" s="520"/>
      <c r="D43" s="520"/>
      <c r="E43" s="520"/>
      <c r="F43" s="520"/>
      <c r="G43" s="520"/>
      <c r="H43" s="520"/>
      <c r="I43" s="520"/>
      <c r="J43" s="520"/>
      <c r="K43" s="520"/>
    </row>
    <row r="44" spans="1:12" ht="19.5"/>
    <row r="45" spans="1:12" ht="19.5"/>
    <row r="46" spans="1:12" ht="19.5"/>
    <row r="47" spans="1:12" ht="19.5"/>
    <row r="48" spans="1:12" ht="19.5"/>
    <row r="49" ht="19.5"/>
    <row r="50" ht="19.5"/>
  </sheetData>
  <mergeCells count="3">
    <mergeCell ref="A2:K2"/>
    <mergeCell ref="I6:K6"/>
    <mergeCell ref="D3:F3"/>
  </mergeCells>
  <phoneticPr fontId="3" type="noConversion"/>
  <hyperlinks>
    <hyperlink ref="M1" location="'②③④참전자(전체일반경합연령5세)-원본'!A1" display="'②③④참전자(전체일반경합연령5세)-원본'!A1"/>
  </hyperlinks>
  <printOptions horizontalCentered="1"/>
  <pageMargins left="0.31496062992125984" right="0.31496062992125984" top="0.94488188976377963" bottom="0.51181102362204722" header="0.70866141732283472" footer="0.31496062992125984"/>
  <pageSetup paperSize="9" scale="67" fitToWidth="0" fitToHeight="0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F0"/>
  </sheetPr>
  <dimension ref="A1:AD47"/>
  <sheetViews>
    <sheetView showGridLines="0" topLeftCell="A4" zoomScale="85" zoomScaleNormal="85" workbookViewId="0">
      <selection activeCell="N37" sqref="N37:O38"/>
    </sheetView>
  </sheetViews>
  <sheetFormatPr defaultRowHeight="16.5"/>
  <cols>
    <col min="1" max="2" width="4.85546875" style="24" customWidth="1"/>
    <col min="3" max="3" width="6.7109375" style="24" customWidth="1"/>
    <col min="4" max="4" width="4.5703125" style="24" customWidth="1"/>
    <col min="5" max="5" width="9.85546875" style="24" customWidth="1"/>
    <col min="6" max="9" width="10" style="24" customWidth="1"/>
    <col min="10" max="10" width="11.5703125" style="24" customWidth="1"/>
    <col min="11" max="12" width="10" style="24" customWidth="1"/>
    <col min="13" max="14" width="13.85546875" style="24" customWidth="1"/>
    <col min="15" max="17" width="10" style="24" customWidth="1"/>
    <col min="18" max="19" width="12.5703125" style="24" customWidth="1"/>
    <col min="20" max="24" width="10" style="24" customWidth="1"/>
    <col min="25" max="16384" width="9.140625" style="24"/>
  </cols>
  <sheetData>
    <row r="1" spans="1:30" s="25" customFormat="1" ht="26.25">
      <c r="A1" s="1069"/>
      <c r="B1" s="1069"/>
      <c r="C1" s="1069"/>
      <c r="D1" s="1069"/>
      <c r="E1" s="1069"/>
      <c r="F1" s="1069"/>
      <c r="G1" s="1069"/>
      <c r="H1" s="1069"/>
      <c r="I1" s="1069"/>
      <c r="J1" s="1069"/>
      <c r="K1" s="1069"/>
      <c r="L1" s="1069"/>
      <c r="M1" s="1069"/>
      <c r="N1" s="1069"/>
      <c r="O1" s="1069"/>
      <c r="P1" s="1069"/>
      <c r="Q1" s="1069"/>
      <c r="R1" s="1069"/>
      <c r="S1" s="1069"/>
      <c r="T1" s="1069"/>
      <c r="U1" s="1069"/>
      <c r="V1" s="1069"/>
      <c r="W1" s="1069"/>
      <c r="X1" s="1069"/>
      <c r="Y1" s="1069"/>
      <c r="Z1" s="1069"/>
      <c r="AA1" s="1069"/>
      <c r="AB1" s="1069"/>
      <c r="AC1" s="1069"/>
    </row>
    <row r="2" spans="1:30" s="25" customFormat="1" ht="26.25">
      <c r="A2" s="1297" t="s">
        <v>160</v>
      </c>
      <c r="B2" s="1297"/>
      <c r="C2" s="1297"/>
      <c r="D2" s="1297"/>
      <c r="E2" s="1297"/>
      <c r="F2" s="1297"/>
      <c r="G2" s="1297"/>
      <c r="H2" s="1297"/>
      <c r="I2" s="1297"/>
      <c r="J2" s="1297"/>
      <c r="K2" s="1297"/>
      <c r="L2" s="1297"/>
      <c r="M2" s="1297"/>
      <c r="N2" s="1297"/>
      <c r="O2" s="1297"/>
      <c r="P2" s="1297"/>
      <c r="Q2" s="1297"/>
      <c r="R2" s="1070"/>
      <c r="S2" s="1071"/>
      <c r="T2" s="1071"/>
      <c r="U2" s="1071"/>
      <c r="V2" s="1071"/>
      <c r="W2" s="1071"/>
      <c r="X2" s="1071"/>
      <c r="Y2" s="1071"/>
      <c r="Z2" s="1071"/>
      <c r="AA2" s="1071"/>
      <c r="AB2" s="1071"/>
      <c r="AC2" s="1071"/>
    </row>
    <row r="3" spans="1:30" ht="19.5">
      <c r="A3" s="1298" t="s">
        <v>148</v>
      </c>
      <c r="B3" s="1298"/>
      <c r="C3" s="1298"/>
      <c r="D3" s="1298"/>
      <c r="E3" s="1298"/>
      <c r="F3" s="1298"/>
      <c r="G3" s="1298"/>
      <c r="H3" s="1298"/>
      <c r="I3" s="1298"/>
      <c r="J3" s="1298"/>
      <c r="K3" s="1298"/>
      <c r="L3" s="1298"/>
      <c r="M3" s="1298"/>
      <c r="N3" s="1298"/>
      <c r="O3" s="1298"/>
      <c r="P3" s="1298"/>
      <c r="Q3" s="1298"/>
      <c r="R3" s="1072"/>
      <c r="S3" s="1073"/>
      <c r="T3" s="1073"/>
      <c r="U3" s="1073"/>
      <c r="V3" s="1073"/>
      <c r="W3" s="1073"/>
      <c r="X3" s="1073"/>
      <c r="Y3" s="1073"/>
      <c r="Z3" s="1073"/>
      <c r="AA3" s="1073"/>
      <c r="AB3" s="1073"/>
      <c r="AC3" s="1073"/>
    </row>
    <row r="4" spans="1:30" s="26" customFormat="1" ht="19.5">
      <c r="A4" s="1074" t="s">
        <v>149</v>
      </c>
      <c r="B4" s="1075"/>
      <c r="C4" s="1075"/>
      <c r="D4" s="1075"/>
      <c r="E4" s="1075"/>
      <c r="F4" s="1075"/>
      <c r="G4" s="1075"/>
      <c r="H4" s="1075"/>
      <c r="I4" s="1075"/>
      <c r="J4" s="1075"/>
      <c r="K4" s="1075"/>
      <c r="L4" s="1075"/>
      <c r="M4" s="1075"/>
      <c r="N4" s="1075"/>
      <c r="O4" s="1075"/>
      <c r="P4" s="1075"/>
      <c r="Q4" s="1075" t="s">
        <v>0</v>
      </c>
      <c r="R4" s="1074" t="s">
        <v>0</v>
      </c>
      <c r="S4" s="1075"/>
      <c r="T4" s="1075"/>
      <c r="U4" s="1075"/>
      <c r="V4" s="1075"/>
      <c r="W4" s="1075"/>
      <c r="X4" s="1075"/>
      <c r="Y4" s="1075"/>
      <c r="Z4" s="1075"/>
      <c r="AA4" s="1075"/>
      <c r="AB4" s="1075"/>
      <c r="AC4" s="1075"/>
    </row>
    <row r="5" spans="1:30" ht="17.25" thickBot="1">
      <c r="A5" s="1076" t="s">
        <v>150</v>
      </c>
      <c r="B5" s="1077"/>
      <c r="C5" s="1077"/>
      <c r="D5" s="1077"/>
      <c r="E5" s="1078"/>
      <c r="F5" s="1078"/>
      <c r="G5" s="1078"/>
      <c r="H5" s="1078"/>
      <c r="I5" s="1078"/>
      <c r="J5" s="1078"/>
      <c r="K5" s="1078"/>
      <c r="L5" s="1078"/>
      <c r="M5" s="1078"/>
      <c r="N5" s="1078"/>
      <c r="O5" s="1299" t="s">
        <v>196</v>
      </c>
      <c r="P5" s="1299"/>
      <c r="Q5" s="1299"/>
      <c r="R5" s="1079"/>
      <c r="S5" s="1079"/>
      <c r="T5" s="1079"/>
      <c r="U5" s="1079"/>
      <c r="V5" s="1079"/>
      <c r="W5" s="1079"/>
      <c r="X5" s="1079"/>
      <c r="Y5" s="1079"/>
      <c r="Z5" s="1079"/>
      <c r="AA5" s="1079"/>
      <c r="AB5" s="1079"/>
      <c r="AC5" s="1079"/>
    </row>
    <row r="6" spans="1:30">
      <c r="A6" s="1300" t="s">
        <v>112</v>
      </c>
      <c r="B6" s="1300"/>
      <c r="C6" s="1300"/>
      <c r="D6" s="1300"/>
      <c r="E6" s="1300"/>
      <c r="F6" s="1301"/>
      <c r="G6" s="1302" t="s">
        <v>113</v>
      </c>
      <c r="H6" s="1300"/>
      <c r="I6" s="1300"/>
      <c r="J6" s="1301"/>
      <c r="K6" s="1302" t="s">
        <v>22</v>
      </c>
      <c r="L6" s="1300"/>
      <c r="M6" s="1300"/>
      <c r="N6" s="1301"/>
      <c r="O6" s="1302" t="s">
        <v>114</v>
      </c>
      <c r="P6" s="1300"/>
      <c r="Q6" s="1300"/>
      <c r="R6" s="1069"/>
      <c r="S6" s="1069"/>
      <c r="T6" s="1069"/>
      <c r="U6" s="1069"/>
      <c r="V6" s="1069"/>
      <c r="W6" s="1069"/>
      <c r="X6" s="1069"/>
      <c r="Y6" s="1069"/>
      <c r="Z6" s="1069"/>
      <c r="AA6" s="1069"/>
      <c r="AB6" s="1069"/>
      <c r="AC6" s="1069"/>
    </row>
    <row r="7" spans="1:30">
      <c r="A7" s="1303" t="s">
        <v>156</v>
      </c>
      <c r="B7" s="1304"/>
      <c r="C7" s="1304"/>
      <c r="D7" s="1304"/>
      <c r="E7" s="1304"/>
      <c r="F7" s="1305"/>
      <c r="G7" s="1306">
        <f>E15</f>
        <v>63094</v>
      </c>
      <c r="H7" s="1307"/>
      <c r="I7" s="1307"/>
      <c r="J7" s="1308"/>
      <c r="K7" s="1306">
        <f>H18</f>
        <v>45957</v>
      </c>
      <c r="L7" s="1307"/>
      <c r="M7" s="1307"/>
      <c r="N7" s="1308"/>
      <c r="O7" s="1309">
        <f>H21</f>
        <v>202</v>
      </c>
      <c r="P7" s="1310"/>
      <c r="Q7" s="1310"/>
      <c r="R7" s="1069"/>
      <c r="S7" s="1069"/>
      <c r="T7" s="1069"/>
      <c r="U7" s="1069"/>
      <c r="V7" s="1069"/>
      <c r="W7" s="1069"/>
      <c r="X7" s="1069"/>
      <c r="Y7" s="1069"/>
      <c r="Z7" s="1069"/>
      <c r="AA7" s="1069"/>
      <c r="AB7" s="1069"/>
      <c r="AC7" s="1069"/>
    </row>
    <row r="8" spans="1:30" ht="17.25" thickBot="1">
      <c r="A8" s="1281" t="s">
        <v>157</v>
      </c>
      <c r="B8" s="1282"/>
      <c r="C8" s="1282"/>
      <c r="D8" s="1282"/>
      <c r="E8" s="1282"/>
      <c r="F8" s="1283"/>
      <c r="G8" s="1284">
        <f>E28</f>
        <v>12474</v>
      </c>
      <c r="H8" s="1285"/>
      <c r="I8" s="1285"/>
      <c r="J8" s="1286"/>
      <c r="K8" s="1284">
        <f>E33</f>
        <v>39257</v>
      </c>
      <c r="L8" s="1285"/>
      <c r="M8" s="1285"/>
      <c r="N8" s="1286"/>
      <c r="O8" s="1287">
        <f>H38</f>
        <v>61</v>
      </c>
      <c r="P8" s="1288"/>
      <c r="Q8" s="1288"/>
      <c r="R8" s="1069"/>
      <c r="S8" s="1069"/>
      <c r="T8" s="1069"/>
      <c r="U8" s="1069"/>
      <c r="V8" s="1069"/>
      <c r="W8" s="1069"/>
      <c r="X8" s="1069"/>
      <c r="Y8" s="1069"/>
      <c r="Z8" s="1069"/>
      <c r="AA8" s="1069"/>
      <c r="AB8" s="1069"/>
      <c r="AC8" s="1069"/>
    </row>
    <row r="9" spans="1:30" s="27" customFormat="1">
      <c r="A9" s="1289" t="s">
        <v>161</v>
      </c>
      <c r="B9" s="1289"/>
      <c r="C9" s="1289"/>
      <c r="D9" s="1289"/>
      <c r="E9" s="1289"/>
      <c r="F9" s="1289"/>
      <c r="G9" s="1289"/>
      <c r="H9" s="1289"/>
      <c r="I9" s="1080">
        <v>11276</v>
      </c>
      <c r="J9" s="1069"/>
      <c r="K9" s="1069"/>
      <c r="L9" s="1069"/>
      <c r="M9" s="1069"/>
      <c r="N9" s="1069"/>
      <c r="O9" s="1069"/>
      <c r="P9" s="1069"/>
      <c r="Q9" s="1069"/>
      <c r="R9" s="1069"/>
      <c r="S9" s="1069"/>
      <c r="T9" s="1069"/>
      <c r="U9" s="1069"/>
      <c r="V9" s="1069"/>
      <c r="W9" s="1069"/>
      <c r="X9" s="1069"/>
      <c r="Y9" s="1069"/>
      <c r="Z9" s="1069"/>
      <c r="AA9" s="1069"/>
      <c r="AB9" s="1069"/>
      <c r="AC9" s="1069"/>
    </row>
    <row r="10" spans="1:30" s="28" customFormat="1">
      <c r="A10" s="1081"/>
      <c r="B10" s="1069"/>
      <c r="C10" s="1069"/>
      <c r="D10" s="1069"/>
      <c r="E10" s="1069"/>
      <c r="F10" s="1069"/>
      <c r="G10" s="1069"/>
      <c r="H10" s="1069"/>
      <c r="I10" s="1069"/>
      <c r="J10" s="1069"/>
      <c r="K10" s="1069"/>
      <c r="L10" s="1069"/>
      <c r="M10" s="1069"/>
      <c r="N10" s="1069"/>
      <c r="O10" s="1069"/>
      <c r="P10" s="1069"/>
      <c r="Q10" s="1069"/>
      <c r="R10" s="1069"/>
      <c r="S10" s="1069"/>
      <c r="T10" s="1069"/>
      <c r="U10" s="1069"/>
      <c r="V10" s="1069"/>
      <c r="W10" s="1069"/>
      <c r="X10" s="1069"/>
      <c r="Y10" s="1069"/>
      <c r="Z10" s="1069"/>
      <c r="AA10" s="1069"/>
      <c r="AB10" s="1069"/>
      <c r="AC10" s="1069"/>
      <c r="AD10" s="1082"/>
    </row>
    <row r="11" spans="1:30">
      <c r="A11" s="1076" t="s">
        <v>151</v>
      </c>
      <c r="B11" s="1076"/>
      <c r="C11" s="1076"/>
      <c r="D11" s="1076"/>
      <c r="E11" s="1076"/>
      <c r="F11" s="1076"/>
      <c r="G11" s="1076"/>
      <c r="H11" s="1076"/>
      <c r="I11" s="1076"/>
      <c r="J11" s="1076"/>
      <c r="K11" s="1076"/>
      <c r="L11" s="1076"/>
      <c r="M11" s="1076"/>
      <c r="N11" s="1076"/>
      <c r="O11" s="1076"/>
      <c r="P11" s="1076"/>
      <c r="Q11" s="1076"/>
      <c r="R11" s="1076"/>
      <c r="S11" s="1076"/>
      <c r="T11" s="1076"/>
      <c r="U11" s="1076"/>
      <c r="V11" s="1076"/>
      <c r="W11" s="1076"/>
      <c r="X11" s="1076"/>
      <c r="Y11" s="1076"/>
      <c r="Z11" s="1076"/>
      <c r="AA11" s="1076"/>
      <c r="AB11" s="1076"/>
      <c r="AC11" s="1076"/>
    </row>
    <row r="12" spans="1:30" ht="16.5" customHeight="1">
      <c r="A12" s="1083" t="s">
        <v>152</v>
      </c>
      <c r="B12" s="1083"/>
      <c r="C12" s="1083"/>
      <c r="D12" s="1083"/>
      <c r="E12" s="1083"/>
      <c r="F12" s="1083"/>
      <c r="G12" s="1083"/>
      <c r="H12" s="1083"/>
      <c r="I12" s="1083"/>
      <c r="J12" s="1083"/>
      <c r="K12" s="1083"/>
      <c r="L12" s="1083"/>
      <c r="M12" s="1083"/>
      <c r="N12" s="1083"/>
      <c r="O12" s="1083"/>
      <c r="P12" s="1083"/>
      <c r="Q12" s="1083"/>
      <c r="R12" s="1083"/>
      <c r="S12" s="1083"/>
      <c r="T12" s="1083"/>
      <c r="U12" s="1083"/>
      <c r="V12" s="1083"/>
      <c r="W12" s="1083"/>
      <c r="X12" s="1083"/>
      <c r="Y12" s="1083"/>
      <c r="Z12" s="1083"/>
      <c r="AA12" s="1083"/>
      <c r="AB12" s="1083"/>
      <c r="AC12" s="1083"/>
    </row>
    <row r="13" spans="1:30">
      <c r="A13" s="1245" t="s">
        <v>112</v>
      </c>
      <c r="B13" s="1245"/>
      <c r="C13" s="1245"/>
      <c r="D13" s="1246"/>
      <c r="E13" s="1311" t="s">
        <v>1</v>
      </c>
      <c r="F13" s="1312"/>
      <c r="G13" s="1249" t="s">
        <v>117</v>
      </c>
      <c r="H13" s="1249"/>
      <c r="I13" s="1249"/>
      <c r="J13" s="1249"/>
      <c r="K13" s="1249"/>
      <c r="L13" s="1249"/>
      <c r="M13" s="1249"/>
      <c r="N13" s="1249"/>
      <c r="O13" s="1245" t="s">
        <v>45</v>
      </c>
      <c r="P13" s="1246"/>
      <c r="Q13" s="1279" t="s">
        <v>44</v>
      </c>
      <c r="R13" s="1069"/>
      <c r="S13" s="1069"/>
      <c r="T13" s="1069"/>
      <c r="U13" s="1069"/>
      <c r="V13" s="1069"/>
      <c r="W13" s="1069"/>
      <c r="X13" s="1069"/>
      <c r="Y13" s="1069"/>
      <c r="Z13" s="1069"/>
      <c r="AA13" s="1069"/>
      <c r="AB13" s="1069"/>
      <c r="AC13" s="1069"/>
    </row>
    <row r="14" spans="1:30" s="28" customFormat="1">
      <c r="A14" s="1247"/>
      <c r="B14" s="1247"/>
      <c r="C14" s="1247"/>
      <c r="D14" s="1248"/>
      <c r="E14" s="1313"/>
      <c r="F14" s="1313"/>
      <c r="G14" s="1084" t="s">
        <v>118</v>
      </c>
      <c r="H14" s="1085" t="s">
        <v>3</v>
      </c>
      <c r="I14" s="1086" t="s">
        <v>4</v>
      </c>
      <c r="J14" s="1086" t="s">
        <v>5</v>
      </c>
      <c r="K14" s="1086" t="s">
        <v>6</v>
      </c>
      <c r="L14" s="1086" t="s">
        <v>7</v>
      </c>
      <c r="M14" s="1086" t="s">
        <v>8</v>
      </c>
      <c r="N14" s="1087" t="s">
        <v>9</v>
      </c>
      <c r="O14" s="1247"/>
      <c r="P14" s="1248"/>
      <c r="Q14" s="1280"/>
      <c r="R14" s="1069"/>
      <c r="S14" s="1069"/>
      <c r="T14" s="1069"/>
      <c r="U14" s="1069"/>
      <c r="V14" s="1069"/>
      <c r="W14" s="1069"/>
      <c r="X14" s="1069"/>
      <c r="Y14" s="1069"/>
      <c r="Z14" s="1069"/>
      <c r="AA14" s="1069"/>
      <c r="AB14" s="1069"/>
      <c r="AC14" s="1069"/>
      <c r="AD14" s="1082"/>
    </row>
    <row r="15" spans="1:30">
      <c r="A15" s="1256" t="s">
        <v>119</v>
      </c>
      <c r="B15" s="1256"/>
      <c r="C15" s="1256"/>
      <c r="D15" s="1257"/>
      <c r="E15" s="1266">
        <f>SUM(G15,O15)</f>
        <v>63094</v>
      </c>
      <c r="F15" s="1267"/>
      <c r="G15" s="1209">
        <f>SUM(H15:N15)</f>
        <v>32707</v>
      </c>
      <c r="H15" s="1217">
        <v>23</v>
      </c>
      <c r="I15" s="1217">
        <v>87</v>
      </c>
      <c r="J15" s="1217">
        <v>1449</v>
      </c>
      <c r="K15" s="1217">
        <v>189</v>
      </c>
      <c r="L15" s="1217">
        <v>2998</v>
      </c>
      <c r="M15" s="1217">
        <v>19753</v>
      </c>
      <c r="N15" s="1217">
        <v>8208</v>
      </c>
      <c r="O15" s="1290">
        <v>30387</v>
      </c>
      <c r="P15" s="1291"/>
      <c r="Q15" s="1099">
        <v>0</v>
      </c>
      <c r="R15" s="1069"/>
      <c r="S15" s="1069"/>
      <c r="T15" s="1069"/>
      <c r="U15" s="1069"/>
      <c r="V15" s="1069"/>
      <c r="W15" s="1069"/>
      <c r="X15" s="1069"/>
      <c r="Y15" s="1069"/>
      <c r="Z15" s="1069"/>
      <c r="AA15" s="1069"/>
      <c r="AB15" s="1069"/>
      <c r="AC15" s="1069"/>
    </row>
    <row r="16" spans="1:30">
      <c r="A16" s="1083" t="s">
        <v>153</v>
      </c>
      <c r="B16" s="1083"/>
      <c r="C16" s="1083"/>
      <c r="D16" s="1083"/>
      <c r="E16" s="1083"/>
      <c r="F16" s="1083"/>
      <c r="G16" s="1083"/>
      <c r="H16" s="1083"/>
      <c r="I16" s="1083"/>
      <c r="J16" s="1083"/>
      <c r="K16" s="1083"/>
      <c r="L16" s="1083"/>
      <c r="M16" s="1083"/>
      <c r="N16" s="1083"/>
      <c r="O16" s="1083"/>
      <c r="P16" s="1083"/>
      <c r="Q16" s="1083"/>
      <c r="R16" s="1083"/>
      <c r="S16" s="1083"/>
      <c r="T16" s="1083"/>
      <c r="U16" s="1083"/>
      <c r="V16" s="1083"/>
      <c r="W16" s="1083"/>
      <c r="X16" s="1083"/>
      <c r="Y16" s="1083"/>
      <c r="Z16" s="1083"/>
      <c r="AA16" s="1083"/>
      <c r="AB16" s="1083"/>
      <c r="AC16" s="1083"/>
    </row>
    <row r="17" spans="1:30" s="28" customFormat="1">
      <c r="A17" s="1262" t="s">
        <v>112</v>
      </c>
      <c r="B17" s="1262"/>
      <c r="C17" s="1262"/>
      <c r="D17" s="1262"/>
      <c r="E17" s="1262"/>
      <c r="F17" s="1262"/>
      <c r="G17" s="1263"/>
      <c r="H17" s="1268" t="s">
        <v>1</v>
      </c>
      <c r="I17" s="1263"/>
      <c r="J17" s="1268" t="s">
        <v>121</v>
      </c>
      <c r="K17" s="1263"/>
      <c r="L17" s="1268" t="s">
        <v>122</v>
      </c>
      <c r="M17" s="1263"/>
      <c r="N17" s="1268" t="s">
        <v>123</v>
      </c>
      <c r="O17" s="1263"/>
      <c r="P17" s="1069"/>
      <c r="Q17" s="1069"/>
      <c r="R17" s="1069"/>
      <c r="S17" s="1069"/>
      <c r="T17" s="1069"/>
      <c r="U17" s="1069"/>
      <c r="V17" s="1069"/>
      <c r="W17" s="1069"/>
      <c r="X17" s="1069"/>
      <c r="Y17" s="1069"/>
      <c r="Z17" s="1069"/>
      <c r="AA17" s="1069"/>
      <c r="AB17" s="1069"/>
      <c r="AC17" s="1082"/>
    </row>
    <row r="18" spans="1:30">
      <c r="A18" s="1269" t="s">
        <v>119</v>
      </c>
      <c r="B18" s="1269"/>
      <c r="C18" s="1269"/>
      <c r="D18" s="1269"/>
      <c r="E18" s="1269"/>
      <c r="F18" s="1269"/>
      <c r="G18" s="1270"/>
      <c r="H18" s="1275">
        <f>SUM(J18:O18)</f>
        <v>45957</v>
      </c>
      <c r="I18" s="1276"/>
      <c r="J18" s="1277">
        <v>9241</v>
      </c>
      <c r="K18" s="1278"/>
      <c r="L18" s="1277">
        <v>8460</v>
      </c>
      <c r="M18" s="1278"/>
      <c r="N18" s="1273">
        <v>28256</v>
      </c>
      <c r="O18" s="1274"/>
      <c r="P18" s="1069"/>
      <c r="Q18" s="1069"/>
      <c r="R18" s="1069"/>
      <c r="S18" s="1069"/>
      <c r="T18" s="1069"/>
      <c r="U18" s="1069"/>
      <c r="V18" s="1069"/>
      <c r="W18" s="1069"/>
      <c r="X18" s="1069"/>
      <c r="Y18" s="1069"/>
      <c r="Z18" s="1069"/>
      <c r="AA18" s="1069"/>
      <c r="AB18" s="1069"/>
    </row>
    <row r="19" spans="1:30">
      <c r="A19" s="1083" t="s">
        <v>154</v>
      </c>
      <c r="B19" s="1083"/>
      <c r="C19" s="1083"/>
      <c r="D19" s="1083"/>
      <c r="E19" s="1083"/>
      <c r="F19" s="1083"/>
      <c r="G19" s="1083"/>
      <c r="H19" s="1083"/>
      <c r="I19" s="1083"/>
      <c r="J19" s="1083"/>
      <c r="K19" s="1083"/>
      <c r="L19" s="1083"/>
      <c r="M19" s="1083"/>
      <c r="N19" s="1083"/>
      <c r="O19" s="1083"/>
      <c r="P19" s="1083"/>
      <c r="Q19" s="1083"/>
      <c r="R19" s="1083"/>
      <c r="S19" s="1083"/>
      <c r="T19" s="1083"/>
      <c r="U19" s="1083"/>
      <c r="V19" s="1083"/>
      <c r="W19" s="1083"/>
      <c r="X19" s="1083"/>
      <c r="Y19" s="1083"/>
      <c r="Z19" s="1083"/>
      <c r="AA19" s="1083"/>
      <c r="AB19" s="1083"/>
    </row>
    <row r="20" spans="1:30">
      <c r="A20" s="1262" t="s">
        <v>112</v>
      </c>
      <c r="B20" s="1262"/>
      <c r="C20" s="1262"/>
      <c r="D20" s="1262"/>
      <c r="E20" s="1262"/>
      <c r="F20" s="1262"/>
      <c r="G20" s="1263"/>
      <c r="H20" s="1268" t="s">
        <v>1</v>
      </c>
      <c r="I20" s="1263"/>
      <c r="J20" s="1268" t="s">
        <v>121</v>
      </c>
      <c r="K20" s="1263"/>
      <c r="L20" s="1268" t="s">
        <v>122</v>
      </c>
      <c r="M20" s="1263"/>
      <c r="N20" s="1268" t="s">
        <v>123</v>
      </c>
      <c r="O20" s="1263"/>
      <c r="P20" s="1069"/>
      <c r="Q20" s="1069"/>
      <c r="R20" s="1069"/>
      <c r="S20" s="1069"/>
      <c r="T20" s="1069"/>
      <c r="U20" s="1069"/>
      <c r="V20" s="1069"/>
      <c r="W20" s="1069"/>
      <c r="X20" s="1069"/>
      <c r="Y20" s="1069"/>
      <c r="Z20" s="1069"/>
      <c r="AA20" s="1069"/>
      <c r="AB20" s="1069"/>
    </row>
    <row r="21" spans="1:30" s="27" customFormat="1">
      <c r="A21" s="1269" t="s">
        <v>119</v>
      </c>
      <c r="B21" s="1269"/>
      <c r="C21" s="1269"/>
      <c r="D21" s="1269"/>
      <c r="E21" s="1269"/>
      <c r="F21" s="1269"/>
      <c r="G21" s="1270"/>
      <c r="H21" s="1271">
        <f>SUM(J21:O21)</f>
        <v>202</v>
      </c>
      <c r="I21" s="1272"/>
      <c r="J21" s="1273">
        <v>13</v>
      </c>
      <c r="K21" s="1274"/>
      <c r="L21" s="1273">
        <v>54</v>
      </c>
      <c r="M21" s="1274"/>
      <c r="N21" s="1273">
        <v>135</v>
      </c>
      <c r="O21" s="1274"/>
      <c r="P21" s="1069"/>
      <c r="Q21" s="1069"/>
      <c r="R21" s="1069"/>
      <c r="S21" s="1069"/>
      <c r="T21" s="1069"/>
      <c r="U21" s="1069"/>
      <c r="V21" s="1069"/>
      <c r="W21" s="1069"/>
      <c r="X21" s="1069"/>
      <c r="Y21" s="1069"/>
      <c r="Z21" s="1069"/>
      <c r="AA21" s="1069"/>
      <c r="AB21" s="1069"/>
    </row>
    <row r="22" spans="1:30" s="28" customFormat="1">
      <c r="A22" s="1069"/>
      <c r="B22" s="1069"/>
      <c r="C22" s="1069"/>
      <c r="D22" s="1069"/>
      <c r="E22" s="1069"/>
      <c r="F22" s="1069"/>
      <c r="G22" s="1069"/>
      <c r="H22" s="1069"/>
      <c r="I22" s="1069"/>
      <c r="J22" s="1069"/>
      <c r="K22" s="1069"/>
      <c r="L22" s="1069"/>
      <c r="M22" s="1069"/>
      <c r="N22" s="1069"/>
      <c r="O22" s="1069"/>
      <c r="P22" s="1069"/>
      <c r="Q22" s="1069"/>
      <c r="R22" s="1069"/>
      <c r="S22" s="1069"/>
      <c r="T22" s="1069"/>
      <c r="U22" s="1069"/>
      <c r="V22" s="1069"/>
      <c r="W22" s="1069"/>
      <c r="X22" s="1069"/>
      <c r="Y22" s="1069"/>
      <c r="Z22" s="1069"/>
      <c r="AA22" s="1069"/>
      <c r="AB22" s="1069"/>
      <c r="AC22" s="1069"/>
      <c r="AD22" s="1082"/>
    </row>
    <row r="23" spans="1:30">
      <c r="A23" s="1076" t="s">
        <v>162</v>
      </c>
      <c r="B23" s="1076"/>
      <c r="C23" s="1076"/>
      <c r="D23" s="1076"/>
      <c r="E23" s="1076"/>
      <c r="F23" s="1076"/>
      <c r="G23" s="1076"/>
      <c r="H23" s="1076"/>
      <c r="I23" s="1076"/>
      <c r="J23" s="1076"/>
      <c r="K23" s="1076"/>
      <c r="L23" s="1076"/>
      <c r="M23" s="1076"/>
      <c r="N23" s="1076"/>
      <c r="O23" s="1076"/>
      <c r="P23" s="1076"/>
      <c r="Q23" s="1076"/>
      <c r="R23" s="1076"/>
      <c r="S23" s="1076"/>
      <c r="T23" s="1076"/>
      <c r="U23" s="1076"/>
      <c r="V23" s="1076"/>
      <c r="W23" s="1076"/>
      <c r="X23" s="1076"/>
      <c r="Y23" s="1076"/>
      <c r="Z23" s="1076"/>
      <c r="AA23" s="1076"/>
      <c r="AB23" s="1076"/>
      <c r="AC23" s="1076"/>
    </row>
    <row r="24" spans="1:30">
      <c r="A24" s="1083" t="s">
        <v>155</v>
      </c>
      <c r="B24" s="1083"/>
      <c r="C24" s="1083"/>
      <c r="D24" s="1083"/>
      <c r="E24" s="1083"/>
      <c r="F24" s="1083"/>
      <c r="G24" s="1083"/>
      <c r="H24" s="1083"/>
      <c r="I24" s="1083"/>
      <c r="J24" s="1083"/>
      <c r="K24" s="1083"/>
      <c r="L24" s="1083"/>
      <c r="M24" s="1083"/>
      <c r="N24" s="1083"/>
      <c r="O24" s="1083"/>
      <c r="P24" s="1083"/>
      <c r="Q24" s="1083"/>
      <c r="R24" s="1083"/>
      <c r="S24" s="1083"/>
      <c r="T24" s="1083"/>
      <c r="U24" s="1083"/>
      <c r="V24" s="1083"/>
      <c r="W24" s="1083"/>
      <c r="X24" s="1083"/>
      <c r="Y24" s="1083"/>
      <c r="Z24" s="1083"/>
      <c r="AA24" s="1083"/>
    </row>
    <row r="25" spans="1:30">
      <c r="A25" s="1245" t="s">
        <v>112</v>
      </c>
      <c r="B25" s="1245"/>
      <c r="C25" s="1245"/>
      <c r="D25" s="1246"/>
      <c r="E25" s="1249" t="s">
        <v>1</v>
      </c>
      <c r="F25" s="1249"/>
      <c r="G25" s="1292" t="s">
        <v>117</v>
      </c>
      <c r="H25" s="1293"/>
      <c r="I25" s="1293"/>
      <c r="J25" s="1293"/>
      <c r="K25" s="1293"/>
      <c r="L25" s="1293"/>
      <c r="M25" s="1293"/>
      <c r="N25" s="1293"/>
      <c r="O25" s="1293"/>
      <c r="P25" s="1293"/>
      <c r="Q25" s="1293"/>
      <c r="R25" s="1293"/>
      <c r="S25" s="1293"/>
      <c r="T25" s="1293"/>
      <c r="U25" s="1293"/>
      <c r="V25" s="1293"/>
      <c r="W25" s="1293"/>
      <c r="X25" s="1293"/>
      <c r="Y25" s="1293"/>
      <c r="Z25" s="1293"/>
      <c r="AA25" s="1293"/>
      <c r="AB25" s="1294"/>
      <c r="AC25" s="1295" t="s">
        <v>45</v>
      </c>
    </row>
    <row r="26" spans="1:30" s="28" customFormat="1" ht="27">
      <c r="A26" s="1247"/>
      <c r="B26" s="1247"/>
      <c r="C26" s="1247"/>
      <c r="D26" s="1248"/>
      <c r="E26" s="1250"/>
      <c r="F26" s="1250"/>
      <c r="G26" s="1211" t="s">
        <v>118</v>
      </c>
      <c r="H26" s="1062" t="s">
        <v>24</v>
      </c>
      <c r="I26" s="1062" t="s">
        <v>25</v>
      </c>
      <c r="J26" s="1062" t="s">
        <v>26</v>
      </c>
      <c r="K26" s="1062" t="s">
        <v>27</v>
      </c>
      <c r="L26" s="1063" t="s">
        <v>41</v>
      </c>
      <c r="M26" s="1062" t="s">
        <v>28</v>
      </c>
      <c r="N26" s="1062" t="s">
        <v>29</v>
      </c>
      <c r="O26" s="1063" t="s">
        <v>42</v>
      </c>
      <c r="P26" s="1062" t="s">
        <v>30</v>
      </c>
      <c r="Q26" s="1062" t="s">
        <v>31</v>
      </c>
      <c r="R26" s="1062" t="s">
        <v>32</v>
      </c>
      <c r="S26" s="1062" t="s">
        <v>33</v>
      </c>
      <c r="T26" s="1062" t="s">
        <v>34</v>
      </c>
      <c r="U26" s="1062" t="s">
        <v>35</v>
      </c>
      <c r="V26" s="1063" t="s">
        <v>43</v>
      </c>
      <c r="W26" s="1062" t="s">
        <v>36</v>
      </c>
      <c r="X26" s="1062" t="s">
        <v>37</v>
      </c>
      <c r="Y26" s="1062" t="s">
        <v>38</v>
      </c>
      <c r="Z26" s="1064" t="s">
        <v>40</v>
      </c>
      <c r="AA26" s="1065" t="s">
        <v>39</v>
      </c>
      <c r="AB26" s="1065" t="s">
        <v>44</v>
      </c>
      <c r="AC26" s="1296"/>
      <c r="AD26" s="1082"/>
    </row>
    <row r="27" spans="1:30" s="29" customFormat="1">
      <c r="A27" s="1251" t="s">
        <v>119</v>
      </c>
      <c r="B27" s="1251"/>
      <c r="C27" s="1251"/>
      <c r="D27" s="1252"/>
      <c r="E27" s="1253">
        <f>SUM(G27,AC27)</f>
        <v>63094</v>
      </c>
      <c r="F27" s="1254"/>
      <c r="G27" s="1212">
        <f>SUM(H27:AB27)</f>
        <v>32707</v>
      </c>
      <c r="H27" s="1095">
        <v>296</v>
      </c>
      <c r="I27" s="1088">
        <v>126</v>
      </c>
      <c r="J27" s="1088">
        <v>88</v>
      </c>
      <c r="K27" s="1088">
        <v>2381</v>
      </c>
      <c r="L27" s="1089">
        <v>0</v>
      </c>
      <c r="M27" s="1088">
        <v>15</v>
      </c>
      <c r="N27" s="1088">
        <v>993</v>
      </c>
      <c r="O27" s="1090">
        <v>251</v>
      </c>
      <c r="P27" s="1088">
        <v>1</v>
      </c>
      <c r="Q27" s="1088">
        <v>44</v>
      </c>
      <c r="R27" s="1088">
        <v>3576</v>
      </c>
      <c r="S27" s="1088">
        <v>84</v>
      </c>
      <c r="T27" s="1088">
        <v>6392</v>
      </c>
      <c r="U27" s="1088">
        <v>15</v>
      </c>
      <c r="V27" s="1090">
        <v>39</v>
      </c>
      <c r="W27" s="1088">
        <v>266</v>
      </c>
      <c r="X27" s="1088">
        <v>14524</v>
      </c>
      <c r="Y27" s="1088">
        <v>4</v>
      </c>
      <c r="Z27" s="1088">
        <v>5</v>
      </c>
      <c r="AA27" s="1088">
        <v>113</v>
      </c>
      <c r="AB27" s="1091">
        <v>3494</v>
      </c>
      <c r="AC27" s="1091">
        <v>30387</v>
      </c>
      <c r="AD27" s="42"/>
    </row>
    <row r="28" spans="1:30" ht="24">
      <c r="A28" s="1256" t="s">
        <v>138</v>
      </c>
      <c r="B28" s="1256"/>
      <c r="C28" s="1256"/>
      <c r="D28" s="1257"/>
      <c r="E28" s="1253">
        <f>SUM(G28,AC28)</f>
        <v>12474</v>
      </c>
      <c r="F28" s="1254"/>
      <c r="G28" s="1212">
        <f>SUM(H28:AB28)</f>
        <v>12474</v>
      </c>
      <c r="H28" s="1092">
        <v>50</v>
      </c>
      <c r="I28" s="1092">
        <v>8</v>
      </c>
      <c r="J28" s="1092">
        <v>16</v>
      </c>
      <c r="K28" s="1092">
        <v>367</v>
      </c>
      <c r="L28" s="1092">
        <v>0</v>
      </c>
      <c r="M28" s="1092">
        <v>3</v>
      </c>
      <c r="N28" s="1092">
        <v>162</v>
      </c>
      <c r="O28" s="1092">
        <v>49</v>
      </c>
      <c r="P28" s="1092">
        <v>0</v>
      </c>
      <c r="Q28" s="1092">
        <v>4</v>
      </c>
      <c r="R28" s="1092">
        <v>256</v>
      </c>
      <c r="S28" s="1092">
        <v>38</v>
      </c>
      <c r="T28" s="1092">
        <v>7167</v>
      </c>
      <c r="U28" s="1092">
        <v>3</v>
      </c>
      <c r="V28" s="1092">
        <v>5</v>
      </c>
      <c r="W28" s="1092">
        <v>108</v>
      </c>
      <c r="X28" s="1092">
        <v>1877</v>
      </c>
      <c r="Y28" s="1092">
        <v>0</v>
      </c>
      <c r="Z28" s="1092">
        <v>2</v>
      </c>
      <c r="AA28" s="1092">
        <v>2</v>
      </c>
      <c r="AB28" s="1092">
        <v>2357</v>
      </c>
      <c r="AC28" s="1093" t="s">
        <v>163</v>
      </c>
    </row>
    <row r="29" spans="1:30" s="28" customFormat="1">
      <c r="A29" s="1069"/>
      <c r="B29" s="1069"/>
      <c r="C29" s="1069"/>
      <c r="D29" s="1069"/>
      <c r="E29" s="1094"/>
      <c r="F29" s="1094"/>
      <c r="G29" s="1069"/>
      <c r="H29" s="1069"/>
      <c r="I29" s="1069"/>
      <c r="J29" s="1069"/>
      <c r="K29" s="1069"/>
      <c r="L29" s="1069"/>
      <c r="M29" s="1069"/>
      <c r="N29" s="1069"/>
      <c r="O29" s="1069"/>
      <c r="P29" s="1069"/>
      <c r="Q29" s="1069"/>
      <c r="R29" s="1069"/>
      <c r="S29" s="1069"/>
      <c r="T29" s="1069"/>
      <c r="U29" s="1069"/>
      <c r="V29" s="1069"/>
      <c r="W29" s="1069"/>
      <c r="X29" s="1069"/>
      <c r="Y29" s="1069"/>
      <c r="Z29" s="1069"/>
      <c r="AA29" s="1069"/>
      <c r="AB29" s="1069"/>
      <c r="AC29" s="1069"/>
      <c r="AD29" s="1082"/>
    </row>
    <row r="30" spans="1:30">
      <c r="A30" s="1083" t="s">
        <v>164</v>
      </c>
      <c r="B30" s="1083"/>
      <c r="C30" s="1083"/>
      <c r="D30" s="1083"/>
      <c r="E30" s="1083"/>
      <c r="F30" s="1083"/>
      <c r="G30" s="1083"/>
      <c r="H30" s="1083"/>
      <c r="I30" s="1083"/>
      <c r="J30" s="1083"/>
      <c r="K30" s="1083"/>
      <c r="L30" s="1083"/>
      <c r="M30" s="1083"/>
      <c r="N30" s="1083"/>
      <c r="O30" s="1083"/>
      <c r="P30" s="1083"/>
      <c r="Q30" s="1083"/>
      <c r="R30" s="1083"/>
      <c r="S30" s="1083"/>
      <c r="T30" s="1083"/>
      <c r="U30" s="1083"/>
      <c r="V30" s="1083"/>
      <c r="W30" s="1083"/>
      <c r="X30" s="1083"/>
      <c r="Y30" s="1083"/>
      <c r="Z30" s="1083"/>
      <c r="AA30" s="1083"/>
      <c r="AB30" s="1069"/>
      <c r="AC30" s="1069"/>
    </row>
    <row r="31" spans="1:30" ht="32.25" customHeight="1">
      <c r="A31" s="1258" t="s">
        <v>112</v>
      </c>
      <c r="B31" s="1259"/>
      <c r="C31" s="1259"/>
      <c r="D31" s="1259"/>
      <c r="E31" s="1259" t="s">
        <v>1</v>
      </c>
      <c r="F31" s="1259"/>
      <c r="G31" s="1066" t="s">
        <v>46</v>
      </c>
      <c r="H31" s="1067" t="s">
        <v>47</v>
      </c>
      <c r="I31" s="1067" t="s">
        <v>48</v>
      </c>
      <c r="J31" s="1067" t="s">
        <v>49</v>
      </c>
      <c r="K31" s="1067" t="s">
        <v>50</v>
      </c>
      <c r="L31" s="1067" t="s">
        <v>51</v>
      </c>
      <c r="M31" s="1067" t="s">
        <v>55</v>
      </c>
      <c r="N31" s="1067" t="s">
        <v>52</v>
      </c>
      <c r="O31" s="1067" t="s">
        <v>53</v>
      </c>
      <c r="P31" s="1067" t="s">
        <v>54</v>
      </c>
      <c r="Q31" s="1067" t="s">
        <v>57</v>
      </c>
      <c r="R31" s="1067" t="s">
        <v>10</v>
      </c>
      <c r="S31" s="1067" t="s">
        <v>58</v>
      </c>
      <c r="T31" s="1067" t="s">
        <v>56</v>
      </c>
      <c r="U31" s="1067" t="s">
        <v>59</v>
      </c>
      <c r="V31" s="1067" t="s">
        <v>61</v>
      </c>
      <c r="W31" s="1067" t="s">
        <v>60</v>
      </c>
      <c r="X31" s="1068" t="s">
        <v>62</v>
      </c>
      <c r="Y31" s="1068" t="s">
        <v>44</v>
      </c>
      <c r="Z31" s="1069"/>
      <c r="AA31" s="1069"/>
    </row>
    <row r="32" spans="1:30">
      <c r="A32" s="1252" t="s">
        <v>119</v>
      </c>
      <c r="B32" s="1260"/>
      <c r="C32" s="1260"/>
      <c r="D32" s="1260"/>
      <c r="E32" s="1253">
        <f>SUM(G32:Y32)</f>
        <v>45957</v>
      </c>
      <c r="F32" s="1253"/>
      <c r="G32" s="1095">
        <v>151</v>
      </c>
      <c r="H32" s="1095">
        <v>512</v>
      </c>
      <c r="I32" s="1095">
        <v>1404</v>
      </c>
      <c r="J32" s="1095">
        <v>759</v>
      </c>
      <c r="K32" s="1095">
        <v>784</v>
      </c>
      <c r="L32" s="1095">
        <v>1913</v>
      </c>
      <c r="M32" s="1095">
        <v>4123</v>
      </c>
      <c r="N32" s="1095">
        <v>731</v>
      </c>
      <c r="O32" s="1095">
        <v>51</v>
      </c>
      <c r="P32" s="1095">
        <v>37</v>
      </c>
      <c r="Q32" s="1095">
        <v>15542</v>
      </c>
      <c r="R32" s="1095">
        <v>1164</v>
      </c>
      <c r="S32" s="1095">
        <v>11784</v>
      </c>
      <c r="T32" s="1095">
        <v>805</v>
      </c>
      <c r="U32" s="1095">
        <v>1066</v>
      </c>
      <c r="V32" s="1095">
        <v>616</v>
      </c>
      <c r="W32" s="1095">
        <v>362</v>
      </c>
      <c r="X32" s="1095">
        <v>3452</v>
      </c>
      <c r="Y32" s="534">
        <v>701</v>
      </c>
      <c r="Z32" s="1210"/>
      <c r="AA32" s="1210"/>
    </row>
    <row r="33" spans="1:30" s="27" customFormat="1" ht="24">
      <c r="A33" s="1257" t="s">
        <v>138</v>
      </c>
      <c r="B33" s="1261"/>
      <c r="C33" s="1261"/>
      <c r="D33" s="1261"/>
      <c r="E33" s="1253">
        <f>SUM(G33:Y33)</f>
        <v>39257</v>
      </c>
      <c r="F33" s="1253"/>
      <c r="G33" s="1092">
        <v>52</v>
      </c>
      <c r="H33" s="1092">
        <v>132</v>
      </c>
      <c r="I33" s="1092">
        <v>2222</v>
      </c>
      <c r="J33" s="1092">
        <v>284</v>
      </c>
      <c r="K33" s="1092">
        <v>467</v>
      </c>
      <c r="L33" s="1092">
        <v>326</v>
      </c>
      <c r="M33" s="1092">
        <v>2950</v>
      </c>
      <c r="N33" s="1092">
        <v>66</v>
      </c>
      <c r="O33" s="1092">
        <v>2</v>
      </c>
      <c r="P33" s="1092">
        <v>6</v>
      </c>
      <c r="Q33" s="1092">
        <v>69</v>
      </c>
      <c r="R33" s="1092">
        <v>425</v>
      </c>
      <c r="S33" s="1092">
        <v>20391</v>
      </c>
      <c r="T33" s="1092">
        <v>187</v>
      </c>
      <c r="U33" s="1092">
        <v>198</v>
      </c>
      <c r="V33" s="1092">
        <v>16</v>
      </c>
      <c r="W33" s="1092">
        <v>5846</v>
      </c>
      <c r="X33" s="1093" t="s">
        <v>163</v>
      </c>
      <c r="Y33" s="1096">
        <v>5618</v>
      </c>
      <c r="Z33" s="1069"/>
      <c r="AA33" s="1069"/>
    </row>
    <row r="34" spans="1:30" s="28" customFormat="1">
      <c r="A34" s="1069"/>
      <c r="B34" s="1069"/>
      <c r="C34" s="1069"/>
      <c r="D34" s="1069"/>
      <c r="E34" s="1094"/>
      <c r="F34" s="1094"/>
      <c r="G34" s="1069"/>
      <c r="H34" s="1069"/>
      <c r="I34" s="1069"/>
      <c r="J34" s="1069"/>
      <c r="K34" s="1069"/>
      <c r="L34" s="1069"/>
      <c r="M34" s="1069"/>
      <c r="N34" s="1069"/>
      <c r="O34" s="1069"/>
      <c r="P34" s="1069"/>
      <c r="Q34" s="1069"/>
      <c r="R34" s="1069"/>
      <c r="S34" s="1069"/>
      <c r="T34" s="1069"/>
      <c r="U34" s="1069"/>
      <c r="V34" s="1069"/>
      <c r="W34" s="1069"/>
      <c r="X34" s="1069"/>
      <c r="Y34" s="1069"/>
      <c r="Z34" s="1069"/>
      <c r="AA34" s="1069"/>
      <c r="AB34" s="1069"/>
      <c r="AC34" s="1069"/>
      <c r="AD34" s="1082"/>
    </row>
    <row r="35" spans="1:30">
      <c r="A35" s="1083" t="s">
        <v>165</v>
      </c>
      <c r="B35" s="1083"/>
      <c r="C35" s="1083"/>
      <c r="D35" s="1083"/>
      <c r="E35" s="1083"/>
      <c r="F35" s="1083"/>
      <c r="G35" s="1083"/>
      <c r="H35" s="1083"/>
      <c r="I35" s="1083"/>
      <c r="J35" s="1083"/>
      <c r="K35" s="1083"/>
      <c r="L35" s="1083"/>
      <c r="M35" s="1083"/>
      <c r="N35" s="1083"/>
      <c r="O35" s="1083"/>
      <c r="P35" s="1069"/>
      <c r="Q35" s="1069"/>
      <c r="R35" s="1069"/>
      <c r="S35" s="1069"/>
      <c r="T35" s="1069"/>
      <c r="U35" s="1069"/>
      <c r="V35" s="1069"/>
      <c r="W35" s="1069"/>
      <c r="X35" s="1069"/>
      <c r="Y35" s="1069"/>
      <c r="Z35" s="1069"/>
      <c r="AA35" s="1069"/>
      <c r="AB35" s="1069"/>
      <c r="AC35" s="1069"/>
    </row>
    <row r="36" spans="1:30" ht="28.5" customHeight="1">
      <c r="A36" s="1262" t="s">
        <v>112</v>
      </c>
      <c r="B36" s="1262"/>
      <c r="C36" s="1262"/>
      <c r="D36" s="1262"/>
      <c r="E36" s="1262"/>
      <c r="F36" s="1262"/>
      <c r="G36" s="1263"/>
      <c r="H36" s="1264" t="s">
        <v>1</v>
      </c>
      <c r="I36" s="1265"/>
      <c r="J36" s="1223" t="s">
        <v>63</v>
      </c>
      <c r="K36" s="1224"/>
      <c r="L36" s="1223" t="s">
        <v>64</v>
      </c>
      <c r="M36" s="1224"/>
      <c r="N36" s="1223" t="s">
        <v>65</v>
      </c>
      <c r="O36" s="1225"/>
      <c r="P36" s="1255" t="s">
        <v>44</v>
      </c>
      <c r="Q36" s="1255"/>
      <c r="R36" s="1069"/>
      <c r="S36" s="1069"/>
      <c r="T36" s="1069"/>
      <c r="U36" s="1069"/>
      <c r="V36" s="1069"/>
      <c r="W36" s="1069"/>
      <c r="X36" s="1069"/>
      <c r="Y36" s="1069"/>
      <c r="Z36" s="1069"/>
      <c r="AA36" s="1069"/>
      <c r="AB36" s="1069"/>
      <c r="AC36" s="1069"/>
    </row>
    <row r="37" spans="1:30" s="28" customFormat="1">
      <c r="A37" s="1227" t="s">
        <v>119</v>
      </c>
      <c r="B37" s="1227"/>
      <c r="C37" s="1227"/>
      <c r="D37" s="1227"/>
      <c r="E37" s="1227"/>
      <c r="F37" s="1227"/>
      <c r="G37" s="1228"/>
      <c r="H37" s="1229">
        <f>SUM(J37:Q37)</f>
        <v>202</v>
      </c>
      <c r="I37" s="1230"/>
      <c r="J37" s="1231">
        <v>19</v>
      </c>
      <c r="K37" s="1232"/>
      <c r="L37" s="1233">
        <v>11</v>
      </c>
      <c r="M37" s="1234"/>
      <c r="N37" s="1233">
        <v>172</v>
      </c>
      <c r="O37" s="1235"/>
      <c r="P37" s="1236">
        <v>0</v>
      </c>
      <c r="Q37" s="1236"/>
      <c r="R37" s="1069"/>
      <c r="S37" s="1069"/>
      <c r="T37" s="1069"/>
      <c r="U37" s="1069"/>
      <c r="V37" s="1069"/>
      <c r="W37" s="1069"/>
      <c r="X37" s="1069"/>
      <c r="Y37" s="1069"/>
      <c r="Z37" s="1069"/>
      <c r="AA37" s="1069"/>
      <c r="AB37" s="1069"/>
      <c r="AC37" s="1069"/>
      <c r="AD37" s="1082"/>
    </row>
    <row r="38" spans="1:30" s="29" customFormat="1">
      <c r="A38" s="1237" t="s">
        <v>138</v>
      </c>
      <c r="B38" s="1237"/>
      <c r="C38" s="1237"/>
      <c r="D38" s="1237"/>
      <c r="E38" s="1237"/>
      <c r="F38" s="1237"/>
      <c r="G38" s="1238"/>
      <c r="H38" s="1239">
        <f>SUM(J38:Q38)</f>
        <v>61</v>
      </c>
      <c r="I38" s="1240"/>
      <c r="J38" s="1241">
        <v>14</v>
      </c>
      <c r="K38" s="1242"/>
      <c r="L38" s="1243">
        <v>3</v>
      </c>
      <c r="M38" s="1244"/>
      <c r="N38" s="1243">
        <v>44</v>
      </c>
      <c r="O38" s="1244"/>
      <c r="P38" s="1226">
        <v>0</v>
      </c>
      <c r="Q38" s="1226"/>
      <c r="R38" s="1069"/>
      <c r="S38" s="1069"/>
      <c r="T38" s="1069"/>
      <c r="U38" s="1069"/>
      <c r="V38" s="1069"/>
      <c r="W38" s="1069"/>
      <c r="X38" s="1069"/>
      <c r="Y38" s="1069"/>
      <c r="Z38" s="1069"/>
      <c r="AA38" s="1069"/>
      <c r="AB38" s="1069"/>
      <c r="AC38" s="1069"/>
    </row>
    <row r="39" spans="1:30">
      <c r="A39" s="1069"/>
      <c r="B39" s="1069"/>
      <c r="C39" s="1069"/>
      <c r="D39" s="1069"/>
      <c r="E39" s="1094"/>
      <c r="F39" s="1094"/>
      <c r="G39" s="1069"/>
      <c r="H39" s="1069"/>
      <c r="I39" s="1069"/>
      <c r="J39" s="1069"/>
      <c r="K39" s="1069"/>
      <c r="L39" s="1069"/>
      <c r="M39" s="1069"/>
      <c r="N39" s="1069"/>
      <c r="O39" s="1069"/>
      <c r="P39" s="1069"/>
      <c r="Q39" s="1069"/>
      <c r="R39" s="1069"/>
      <c r="S39" s="1069"/>
      <c r="T39" s="1069"/>
      <c r="U39" s="1069"/>
      <c r="V39" s="1069"/>
      <c r="W39" s="1069"/>
      <c r="X39" s="1069"/>
      <c r="Y39" s="1069"/>
      <c r="Z39" s="1069"/>
      <c r="AA39" s="1069"/>
      <c r="AB39" s="1069"/>
      <c r="AC39" s="1069"/>
    </row>
    <row r="40" spans="1:30" s="28" customFormat="1">
      <c r="A40" s="1069"/>
      <c r="B40" s="1069"/>
      <c r="C40" s="1069"/>
      <c r="D40" s="1069"/>
      <c r="E40" s="1094"/>
      <c r="F40" s="1094"/>
      <c r="G40" s="1069"/>
      <c r="H40" s="1069"/>
      <c r="I40" s="1069"/>
      <c r="J40" s="1069"/>
      <c r="K40" s="1069"/>
      <c r="L40" s="1069"/>
      <c r="M40" s="1069"/>
      <c r="N40" s="1069"/>
      <c r="O40" s="1069"/>
      <c r="P40" s="1069"/>
      <c r="Q40" s="1069"/>
      <c r="R40" s="1069"/>
      <c r="S40" s="1069"/>
      <c r="T40" s="1069"/>
      <c r="U40" s="1069"/>
      <c r="V40" s="1069"/>
      <c r="W40" s="1069"/>
      <c r="X40" s="1069"/>
      <c r="Y40" s="1069"/>
      <c r="Z40" s="1069"/>
      <c r="AA40" s="1069"/>
      <c r="AB40" s="1069"/>
      <c r="AC40" s="1069"/>
      <c r="AD40" s="1082"/>
    </row>
    <row r="41" spans="1:30">
      <c r="A41" s="1097" t="s">
        <v>141</v>
      </c>
      <c r="B41" s="1098"/>
      <c r="C41" s="1098"/>
      <c r="D41" s="1098"/>
      <c r="E41" s="1098"/>
      <c r="F41" s="1098"/>
      <c r="G41" s="1098"/>
      <c r="H41" s="1098"/>
      <c r="I41" s="1098"/>
      <c r="J41" s="1098"/>
      <c r="K41" s="1098"/>
      <c r="L41" s="1098"/>
      <c r="M41" s="1098"/>
      <c r="N41" s="1098"/>
      <c r="O41" s="1098"/>
      <c r="P41" s="1098"/>
      <c r="Q41" s="1098"/>
      <c r="R41" s="1098"/>
      <c r="S41" s="1098"/>
      <c r="T41" s="1069"/>
      <c r="U41" s="1069"/>
      <c r="V41" s="1069"/>
      <c r="W41" s="1069"/>
      <c r="X41" s="1069"/>
      <c r="Y41" s="1069"/>
      <c r="Z41" s="1069"/>
      <c r="AA41" s="1069"/>
      <c r="AB41" s="1069"/>
      <c r="AC41" s="1069"/>
    </row>
    <row r="42" spans="1:30" ht="30" customHeight="1">
      <c r="A42" s="1097" t="s">
        <v>158</v>
      </c>
      <c r="B42" s="1098"/>
      <c r="C42" s="1098"/>
      <c r="D42" s="1098"/>
      <c r="E42" s="1098"/>
      <c r="F42" s="1098"/>
      <c r="G42" s="1098"/>
      <c r="H42" s="1098"/>
      <c r="I42" s="1098"/>
      <c r="J42" s="1098"/>
      <c r="K42" s="1098"/>
      <c r="L42" s="1098"/>
      <c r="M42" s="1098"/>
      <c r="N42" s="1098"/>
      <c r="O42" s="1098"/>
      <c r="P42" s="1098"/>
      <c r="Q42" s="1098"/>
      <c r="R42" s="1098"/>
      <c r="S42" s="1098"/>
      <c r="T42" s="1069"/>
      <c r="U42" s="1069"/>
      <c r="V42" s="1069"/>
      <c r="W42" s="1069"/>
      <c r="X42" s="1069"/>
      <c r="Y42" s="1069"/>
      <c r="Z42" s="1069"/>
      <c r="AA42" s="1069"/>
      <c r="AB42" s="1069"/>
      <c r="AC42" s="1069"/>
    </row>
    <row r="43" spans="1:30">
      <c r="A43" s="1097" t="s">
        <v>23</v>
      </c>
      <c r="B43" s="1098"/>
      <c r="C43" s="1098"/>
      <c r="D43" s="1098"/>
      <c r="E43" s="1098"/>
      <c r="F43" s="1098"/>
      <c r="G43" s="1098"/>
      <c r="H43" s="1098"/>
      <c r="I43" s="1098"/>
      <c r="J43" s="1098"/>
      <c r="K43" s="1098"/>
      <c r="L43" s="1098"/>
      <c r="M43" s="1098"/>
      <c r="N43" s="1098"/>
      <c r="O43" s="1098"/>
      <c r="P43" s="1098"/>
      <c r="Q43" s="1098"/>
      <c r="R43" s="1098"/>
      <c r="S43" s="1098"/>
      <c r="T43" s="1083"/>
      <c r="U43" s="1083"/>
      <c r="V43" s="1083"/>
      <c r="W43" s="1083"/>
      <c r="X43" s="1083"/>
      <c r="Y43" s="1083"/>
      <c r="Z43" s="1083"/>
      <c r="AA43" s="1083"/>
      <c r="AB43" s="1083"/>
      <c r="AC43" s="1083"/>
    </row>
    <row r="44" spans="1:30">
      <c r="A44" s="535"/>
      <c r="B44" s="535"/>
      <c r="C44" s="535"/>
      <c r="D44" s="535"/>
      <c r="E44" s="535"/>
      <c r="F44" s="536"/>
      <c r="G44" s="536"/>
      <c r="H44" s="534"/>
      <c r="I44" s="534"/>
      <c r="J44" s="534"/>
      <c r="K44" s="534"/>
      <c r="L44" s="534"/>
      <c r="M44" s="534"/>
      <c r="N44" s="534"/>
      <c r="O44" s="534"/>
      <c r="P44" s="535"/>
      <c r="Q44" s="540"/>
      <c r="R44" s="540"/>
      <c r="S44" s="540"/>
      <c r="T44" s="540"/>
      <c r="U44" s="540"/>
      <c r="V44" s="540"/>
      <c r="W44" s="540"/>
      <c r="X44" s="540"/>
      <c r="Y44" s="540"/>
      <c r="Z44" s="540"/>
      <c r="AA44" s="540"/>
    </row>
    <row r="45" spans="1:30">
      <c r="A45" s="537" t="s">
        <v>141</v>
      </c>
      <c r="B45" s="538"/>
      <c r="C45" s="538"/>
      <c r="D45" s="538"/>
      <c r="E45" s="538"/>
      <c r="F45" s="538"/>
      <c r="G45" s="538"/>
      <c r="H45" s="538"/>
      <c r="I45" s="538"/>
      <c r="J45" s="538"/>
      <c r="K45" s="538"/>
      <c r="L45" s="538"/>
      <c r="M45" s="538"/>
      <c r="N45" s="538"/>
      <c r="O45" s="538"/>
      <c r="P45" s="538"/>
      <c r="Q45" s="539"/>
      <c r="R45" s="539"/>
      <c r="S45" s="539"/>
      <c r="T45" s="539"/>
      <c r="U45" s="540"/>
      <c r="V45" s="540"/>
      <c r="W45" s="540"/>
      <c r="X45" s="540"/>
      <c r="Y45" s="540"/>
      <c r="Z45" s="540"/>
      <c r="AA45" s="540"/>
    </row>
    <row r="46" spans="1:30">
      <c r="A46" s="537" t="s">
        <v>158</v>
      </c>
      <c r="B46" s="539"/>
      <c r="C46" s="539"/>
      <c r="D46" s="539"/>
      <c r="E46" s="539"/>
      <c r="F46" s="539"/>
      <c r="G46" s="539"/>
      <c r="H46" s="539"/>
      <c r="I46" s="539"/>
      <c r="J46" s="539"/>
      <c r="K46" s="539"/>
      <c r="L46" s="539"/>
      <c r="M46" s="539"/>
      <c r="N46" s="539"/>
      <c r="O46" s="539"/>
      <c r="P46" s="539"/>
      <c r="Q46" s="539"/>
      <c r="R46" s="539"/>
      <c r="S46" s="539"/>
      <c r="T46" s="539"/>
      <c r="U46" s="540"/>
      <c r="V46" s="540"/>
      <c r="W46" s="540"/>
      <c r="X46" s="540"/>
      <c r="Y46" s="540"/>
      <c r="Z46" s="540"/>
      <c r="AA46" s="540"/>
    </row>
    <row r="47" spans="1:30">
      <c r="A47" s="537" t="s">
        <v>23</v>
      </c>
      <c r="B47" s="539"/>
      <c r="C47" s="539"/>
      <c r="D47" s="539"/>
      <c r="E47" s="539"/>
      <c r="F47" s="539"/>
      <c r="G47" s="539"/>
      <c r="H47" s="539"/>
      <c r="I47" s="539"/>
      <c r="J47" s="539"/>
      <c r="K47" s="539"/>
      <c r="L47" s="539"/>
      <c r="M47" s="539"/>
      <c r="N47" s="539"/>
      <c r="O47" s="539"/>
      <c r="P47" s="539"/>
      <c r="Q47" s="539"/>
      <c r="R47" s="539"/>
      <c r="S47" s="539"/>
      <c r="T47" s="539"/>
      <c r="U47" s="540"/>
      <c r="V47" s="540"/>
      <c r="W47" s="540"/>
      <c r="X47" s="540"/>
      <c r="Y47" s="540"/>
      <c r="Z47" s="540"/>
      <c r="AA47" s="540"/>
    </row>
  </sheetData>
  <mergeCells count="76">
    <mergeCell ref="O15:P15"/>
    <mergeCell ref="G25:AB25"/>
    <mergeCell ref="AC25:AC26"/>
    <mergeCell ref="A2:Q2"/>
    <mergeCell ref="A3:Q3"/>
    <mergeCell ref="O5:Q5"/>
    <mergeCell ref="A6:F6"/>
    <mergeCell ref="G6:J6"/>
    <mergeCell ref="K6:N6"/>
    <mergeCell ref="O6:Q6"/>
    <mergeCell ref="A7:F7"/>
    <mergeCell ref="G7:J7"/>
    <mergeCell ref="K7:N7"/>
    <mergeCell ref="O7:Q7"/>
    <mergeCell ref="A13:D14"/>
    <mergeCell ref="E13:F14"/>
    <mergeCell ref="G13:N13"/>
    <mergeCell ref="O13:P14"/>
    <mergeCell ref="Q13:Q14"/>
    <mergeCell ref="A8:F8"/>
    <mergeCell ref="G8:J8"/>
    <mergeCell ref="K8:N8"/>
    <mergeCell ref="O8:Q8"/>
    <mergeCell ref="A9:H9"/>
    <mergeCell ref="J18:K18"/>
    <mergeCell ref="L18:M18"/>
    <mergeCell ref="N18:O18"/>
    <mergeCell ref="J17:K17"/>
    <mergeCell ref="H17:I17"/>
    <mergeCell ref="L17:M17"/>
    <mergeCell ref="A15:D15"/>
    <mergeCell ref="E15:F15"/>
    <mergeCell ref="N20:O20"/>
    <mergeCell ref="A21:G21"/>
    <mergeCell ref="H21:I21"/>
    <mergeCell ref="J21:K21"/>
    <mergeCell ref="L21:M21"/>
    <mergeCell ref="N21:O21"/>
    <mergeCell ref="L20:M20"/>
    <mergeCell ref="H20:I20"/>
    <mergeCell ref="J20:K20"/>
    <mergeCell ref="A20:G20"/>
    <mergeCell ref="A17:G17"/>
    <mergeCell ref="N17:O17"/>
    <mergeCell ref="A18:G18"/>
    <mergeCell ref="H18:I18"/>
    <mergeCell ref="A25:D26"/>
    <mergeCell ref="E25:F26"/>
    <mergeCell ref="A27:D27"/>
    <mergeCell ref="E27:F27"/>
    <mergeCell ref="P36:Q36"/>
    <mergeCell ref="A28:D28"/>
    <mergeCell ref="E28:F28"/>
    <mergeCell ref="A31:D31"/>
    <mergeCell ref="E31:F31"/>
    <mergeCell ref="A32:D32"/>
    <mergeCell ref="E32:F32"/>
    <mergeCell ref="A33:D33"/>
    <mergeCell ref="E33:F33"/>
    <mergeCell ref="A36:G36"/>
    <mergeCell ref="H36:I36"/>
    <mergeCell ref="J36:K36"/>
    <mergeCell ref="L36:M36"/>
    <mergeCell ref="N36:O36"/>
    <mergeCell ref="P38:Q38"/>
    <mergeCell ref="A37:G37"/>
    <mergeCell ref="H37:I37"/>
    <mergeCell ref="J37:K37"/>
    <mergeCell ref="L37:M37"/>
    <mergeCell ref="N37:O37"/>
    <mergeCell ref="P37:Q37"/>
    <mergeCell ref="A38:G38"/>
    <mergeCell ref="H38:I38"/>
    <mergeCell ref="J38:K38"/>
    <mergeCell ref="L38:M38"/>
    <mergeCell ref="N38:O38"/>
  </mergeCells>
  <phoneticPr fontId="3" type="noConversion"/>
  <printOptions horizontalCentered="1"/>
  <pageMargins left="0.27" right="0.22" top="0.38" bottom="0.19685039370078741" header="0.31496062992125984" footer="0.15748031496062992"/>
  <pageSetup paperSize="9" scale="54" fitToWidth="0" fitToHeight="0" orientation="landscape" r:id="rId1"/>
  <headerFooter alignWithMargins="0"/>
  <ignoredErrors>
    <ignoredError sqref="G15" formulaRange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L50"/>
  <sheetViews>
    <sheetView showGridLines="0" zoomScale="85" zoomScaleNormal="85" zoomScaleSheetLayoutView="70" workbookViewId="0">
      <selection activeCell="B8" sqref="B8:B11"/>
    </sheetView>
  </sheetViews>
  <sheetFormatPr defaultColWidth="16.42578125" defaultRowHeight="39.950000000000003" customHeight="1"/>
  <cols>
    <col min="1" max="1" width="15.5703125" style="7" customWidth="1"/>
    <col min="2" max="2" width="14.42578125" style="7" customWidth="1"/>
    <col min="3" max="6" width="10.42578125" style="7" customWidth="1"/>
    <col min="7" max="7" width="12.140625" style="7" customWidth="1"/>
    <col min="8" max="10" width="10.42578125" style="7" customWidth="1"/>
    <col min="11" max="11" width="17.5703125" style="7" customWidth="1"/>
    <col min="12" max="12" width="1.28515625" style="7" customWidth="1"/>
    <col min="13" max="16384" width="16.42578125" style="7"/>
  </cols>
  <sheetData>
    <row r="1" spans="1:12" s="2" customFormat="1" ht="25.5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1"/>
    </row>
    <row r="2" spans="1:12" s="2" customFormat="1" ht="26.25">
      <c r="A2" s="1314" t="s">
        <v>172</v>
      </c>
      <c r="B2" s="1314"/>
      <c r="C2" s="1314"/>
      <c r="D2" s="1314"/>
      <c r="E2" s="1314"/>
      <c r="F2" s="1314"/>
      <c r="G2" s="1314"/>
      <c r="H2" s="1314"/>
      <c r="I2" s="1314"/>
      <c r="J2" s="1314"/>
      <c r="K2" s="1314"/>
      <c r="L2" s="1"/>
    </row>
    <row r="3" spans="1:12" s="2" customFormat="1" ht="25.5">
      <c r="A3" s="44"/>
      <c r="B3" s="45"/>
      <c r="C3" s="45"/>
      <c r="D3" s="1316" t="s">
        <v>68</v>
      </c>
      <c r="E3" s="1316"/>
      <c r="F3" s="1316"/>
      <c r="G3" s="45"/>
      <c r="H3" s="45"/>
      <c r="I3" s="45"/>
      <c r="J3" s="45"/>
      <c r="K3" s="45"/>
      <c r="L3" s="1"/>
    </row>
    <row r="4" spans="1:12" s="2" customFormat="1" ht="25.5">
      <c r="A4" s="44"/>
      <c r="B4" s="45"/>
      <c r="C4" s="45"/>
      <c r="D4" s="46"/>
      <c r="E4" s="46"/>
      <c r="F4" s="46"/>
      <c r="G4" s="45"/>
      <c r="H4" s="45"/>
      <c r="I4" s="45"/>
      <c r="J4" s="45"/>
      <c r="K4" s="45"/>
      <c r="L4" s="1"/>
    </row>
    <row r="5" spans="1:12" s="2" customFormat="1" ht="25.5">
      <c r="A5" s="47" t="s">
        <v>87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1"/>
    </row>
    <row r="6" spans="1:12" s="4" customFormat="1" ht="21" thickBot="1">
      <c r="A6" s="43"/>
      <c r="B6" s="43"/>
      <c r="C6" s="43"/>
      <c r="D6" s="43"/>
      <c r="E6" s="43"/>
      <c r="F6" s="43"/>
      <c r="G6" s="43"/>
      <c r="H6" s="43"/>
      <c r="I6" s="1315" t="s">
        <v>188</v>
      </c>
      <c r="J6" s="1315"/>
      <c r="K6" s="1315"/>
      <c r="L6" s="3"/>
    </row>
    <row r="7" spans="1:12" s="5" customFormat="1" ht="21.75" thickTop="1" thickBot="1">
      <c r="A7" s="48" t="s">
        <v>69</v>
      </c>
      <c r="B7" s="49" t="s">
        <v>1</v>
      </c>
      <c r="C7" s="51" t="s">
        <v>11</v>
      </c>
      <c r="D7" s="51" t="s">
        <v>12</v>
      </c>
      <c r="E7" s="51" t="s">
        <v>13</v>
      </c>
      <c r="F7" s="51" t="s">
        <v>14</v>
      </c>
      <c r="G7" s="51" t="s">
        <v>15</v>
      </c>
      <c r="H7" s="51" t="s">
        <v>16</v>
      </c>
      <c r="I7" s="51" t="s">
        <v>17</v>
      </c>
      <c r="J7" s="51" t="s">
        <v>18</v>
      </c>
      <c r="K7" s="52" t="s">
        <v>166</v>
      </c>
      <c r="L7" s="6"/>
    </row>
    <row r="8" spans="1:12" ht="19.5">
      <c r="A8" s="53" t="s">
        <v>2</v>
      </c>
      <c r="B8" s="557">
        <v>33943</v>
      </c>
      <c r="C8" s="558">
        <v>0</v>
      </c>
      <c r="D8" s="558">
        <v>0</v>
      </c>
      <c r="E8" s="558">
        <v>295</v>
      </c>
      <c r="F8" s="558">
        <v>15897</v>
      </c>
      <c r="G8" s="558">
        <v>11298</v>
      </c>
      <c r="H8" s="558">
        <v>1778</v>
      </c>
      <c r="I8" s="558">
        <v>3114</v>
      </c>
      <c r="J8" s="558">
        <v>1466</v>
      </c>
      <c r="K8" s="559">
        <v>95</v>
      </c>
      <c r="L8" s="8">
        <v>60</v>
      </c>
    </row>
    <row r="9" spans="1:12" s="10" customFormat="1" ht="17.25">
      <c r="A9" s="54" t="s">
        <v>71</v>
      </c>
      <c r="B9" s="560">
        <v>4301</v>
      </c>
      <c r="C9" s="561">
        <v>0</v>
      </c>
      <c r="D9" s="561">
        <v>0</v>
      </c>
      <c r="E9" s="561">
        <v>0</v>
      </c>
      <c r="F9" s="561">
        <v>0</v>
      </c>
      <c r="G9" s="561">
        <v>1</v>
      </c>
      <c r="H9" s="561">
        <v>204</v>
      </c>
      <c r="I9" s="561">
        <v>2618</v>
      </c>
      <c r="J9" s="561">
        <v>1385</v>
      </c>
      <c r="K9" s="562">
        <v>93</v>
      </c>
      <c r="L9" s="9">
        <v>60</v>
      </c>
    </row>
    <row r="10" spans="1:12" s="12" customFormat="1" ht="17.25">
      <c r="A10" s="55" t="s">
        <v>72</v>
      </c>
      <c r="B10" s="563">
        <v>29394</v>
      </c>
      <c r="C10" s="564">
        <v>0</v>
      </c>
      <c r="D10" s="564">
        <v>0</v>
      </c>
      <c r="E10" s="564">
        <v>295</v>
      </c>
      <c r="F10" s="564">
        <v>15897</v>
      </c>
      <c r="G10" s="564">
        <v>11297</v>
      </c>
      <c r="H10" s="564">
        <v>1571</v>
      </c>
      <c r="I10" s="564">
        <v>325</v>
      </c>
      <c r="J10" s="564">
        <v>9</v>
      </c>
      <c r="K10" s="565">
        <v>0</v>
      </c>
      <c r="L10" s="11">
        <v>0</v>
      </c>
    </row>
    <row r="11" spans="1:12" s="12" customFormat="1" ht="18" thickBot="1">
      <c r="A11" s="56" t="s">
        <v>73</v>
      </c>
      <c r="B11" s="566">
        <v>248</v>
      </c>
      <c r="C11" s="567">
        <v>0</v>
      </c>
      <c r="D11" s="567">
        <v>0</v>
      </c>
      <c r="E11" s="567">
        <v>0</v>
      </c>
      <c r="F11" s="567">
        <v>0</v>
      </c>
      <c r="G11" s="567">
        <v>0</v>
      </c>
      <c r="H11" s="567">
        <v>3</v>
      </c>
      <c r="I11" s="567">
        <v>171</v>
      </c>
      <c r="J11" s="567">
        <v>72</v>
      </c>
      <c r="K11" s="568">
        <v>2</v>
      </c>
      <c r="L11" s="11">
        <v>0</v>
      </c>
    </row>
    <row r="12" spans="1:12" s="12" customFormat="1" ht="18" thickTop="1">
      <c r="A12" s="57" t="s">
        <v>74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11"/>
    </row>
    <row r="13" spans="1:12" s="12" customFormat="1" ht="17.25">
      <c r="A13" s="43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11"/>
    </row>
    <row r="14" spans="1:12" s="13" customFormat="1" ht="16.5">
      <c r="A14" s="43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14"/>
    </row>
    <row r="15" spans="1:12" s="15" customFormat="1" ht="13.5">
      <c r="A15" s="58" t="s">
        <v>90</v>
      </c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16"/>
    </row>
    <row r="16" spans="1:12" s="10" customFormat="1" ht="17.25">
      <c r="A16" s="58" t="s">
        <v>75</v>
      </c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9"/>
    </row>
    <row r="17" spans="1:12" s="10" customFormat="1" ht="18" thickBot="1">
      <c r="A17" s="59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9"/>
    </row>
    <row r="18" spans="1:12" s="12" customFormat="1" ht="18.75" thickTop="1" thickBot="1">
      <c r="A18" s="48" t="s">
        <v>69</v>
      </c>
      <c r="B18" s="49" t="s">
        <v>1</v>
      </c>
      <c r="C18" s="51" t="s">
        <v>11</v>
      </c>
      <c r="D18" s="51" t="s">
        <v>12</v>
      </c>
      <c r="E18" s="51" t="s">
        <v>13</v>
      </c>
      <c r="F18" s="51" t="s">
        <v>14</v>
      </c>
      <c r="G18" s="51" t="s">
        <v>15</v>
      </c>
      <c r="H18" s="51" t="s">
        <v>16</v>
      </c>
      <c r="I18" s="51" t="s">
        <v>17</v>
      </c>
      <c r="J18" s="51" t="s">
        <v>18</v>
      </c>
      <c r="K18" s="1134" t="s">
        <v>166</v>
      </c>
      <c r="L18" s="11"/>
    </row>
    <row r="19" spans="1:12" s="12" customFormat="1" ht="17.25">
      <c r="A19" s="60" t="s">
        <v>2</v>
      </c>
      <c r="B19" s="569">
        <v>19572</v>
      </c>
      <c r="C19" s="571">
        <v>0</v>
      </c>
      <c r="D19" s="571">
        <v>0</v>
      </c>
      <c r="E19" s="571">
        <v>180</v>
      </c>
      <c r="F19" s="571">
        <v>9026</v>
      </c>
      <c r="G19" s="571">
        <v>5967</v>
      </c>
      <c r="H19" s="571">
        <v>920</v>
      </c>
      <c r="I19" s="571">
        <v>2371</v>
      </c>
      <c r="J19" s="571">
        <v>1037</v>
      </c>
      <c r="K19" s="572">
        <v>71</v>
      </c>
      <c r="L19" s="11">
        <v>38</v>
      </c>
    </row>
    <row r="20" spans="1:12" s="12" customFormat="1" ht="17.25">
      <c r="A20" s="61" t="s">
        <v>71</v>
      </c>
      <c r="B20" s="573">
        <v>3446</v>
      </c>
      <c r="C20" s="575">
        <v>0</v>
      </c>
      <c r="D20" s="575">
        <v>0</v>
      </c>
      <c r="E20" s="575">
        <v>0</v>
      </c>
      <c r="F20" s="575">
        <v>0</v>
      </c>
      <c r="G20" s="575">
        <v>1</v>
      </c>
      <c r="H20" s="575">
        <v>193</v>
      </c>
      <c r="I20" s="575">
        <v>2163</v>
      </c>
      <c r="J20" s="575">
        <v>1018</v>
      </c>
      <c r="K20" s="576">
        <v>71</v>
      </c>
      <c r="L20" s="11">
        <v>38</v>
      </c>
    </row>
    <row r="21" spans="1:12" s="12" customFormat="1" ht="17.25">
      <c r="A21" s="62" t="s">
        <v>72</v>
      </c>
      <c r="B21" s="577">
        <v>16047</v>
      </c>
      <c r="C21" s="578">
        <v>0</v>
      </c>
      <c r="D21" s="578">
        <v>0</v>
      </c>
      <c r="E21" s="578">
        <v>180</v>
      </c>
      <c r="F21" s="578">
        <v>9026</v>
      </c>
      <c r="G21" s="578">
        <v>5966</v>
      </c>
      <c r="H21" s="578">
        <v>725</v>
      </c>
      <c r="I21" s="578">
        <v>149</v>
      </c>
      <c r="J21" s="578">
        <v>1</v>
      </c>
      <c r="K21" s="579">
        <v>0</v>
      </c>
      <c r="L21" s="11">
        <v>0</v>
      </c>
    </row>
    <row r="22" spans="1:12" s="17" customFormat="1" ht="20.25" thickBot="1">
      <c r="A22" s="63" t="s">
        <v>73</v>
      </c>
      <c r="B22" s="580">
        <v>79</v>
      </c>
      <c r="C22" s="582">
        <v>0</v>
      </c>
      <c r="D22" s="582">
        <v>0</v>
      </c>
      <c r="E22" s="582">
        <v>0</v>
      </c>
      <c r="F22" s="582">
        <v>0</v>
      </c>
      <c r="G22" s="582">
        <v>0</v>
      </c>
      <c r="H22" s="582">
        <v>2</v>
      </c>
      <c r="I22" s="582">
        <v>59</v>
      </c>
      <c r="J22" s="582">
        <v>18</v>
      </c>
      <c r="K22" s="583">
        <v>0</v>
      </c>
      <c r="L22" s="8">
        <v>0</v>
      </c>
    </row>
    <row r="23" spans="1:12" s="18" customFormat="1" ht="18" thickTop="1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9"/>
    </row>
    <row r="24" spans="1:12" s="10" customFormat="1" ht="17.25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9"/>
    </row>
    <row r="25" spans="1:12" s="12" customFormat="1" ht="17.25">
      <c r="A25" s="58" t="s">
        <v>89</v>
      </c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11"/>
    </row>
    <row r="26" spans="1:12" s="12" customFormat="1" ht="17.25">
      <c r="A26" s="58" t="s">
        <v>76</v>
      </c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11"/>
    </row>
    <row r="27" spans="1:12" s="12" customFormat="1" ht="18" thickBot="1">
      <c r="A27" s="59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11"/>
    </row>
    <row r="28" spans="1:12" s="12" customFormat="1" ht="18.75" thickTop="1" thickBot="1">
      <c r="A28" s="48" t="s">
        <v>69</v>
      </c>
      <c r="B28" s="49" t="s">
        <v>1</v>
      </c>
      <c r="C28" s="51" t="s">
        <v>11</v>
      </c>
      <c r="D28" s="51" t="s">
        <v>12</v>
      </c>
      <c r="E28" s="51" t="s">
        <v>13</v>
      </c>
      <c r="F28" s="51" t="s">
        <v>14</v>
      </c>
      <c r="G28" s="51" t="s">
        <v>15</v>
      </c>
      <c r="H28" s="51" t="s">
        <v>16</v>
      </c>
      <c r="I28" s="51" t="s">
        <v>17</v>
      </c>
      <c r="J28" s="51" t="s">
        <v>18</v>
      </c>
      <c r="K28" s="1134" t="s">
        <v>166</v>
      </c>
      <c r="L28" s="11"/>
    </row>
    <row r="29" spans="1:12" ht="19.5">
      <c r="A29" s="60" t="s">
        <v>2</v>
      </c>
      <c r="B29" s="569">
        <v>14371</v>
      </c>
      <c r="C29" s="571">
        <v>0</v>
      </c>
      <c r="D29" s="571">
        <v>0</v>
      </c>
      <c r="E29" s="571">
        <v>115</v>
      </c>
      <c r="F29" s="571">
        <v>6871</v>
      </c>
      <c r="G29" s="571">
        <v>5331</v>
      </c>
      <c r="H29" s="571">
        <v>858</v>
      </c>
      <c r="I29" s="571">
        <v>743</v>
      </c>
      <c r="J29" s="571">
        <v>429</v>
      </c>
      <c r="K29" s="572">
        <v>24</v>
      </c>
      <c r="L29" s="8">
        <v>22</v>
      </c>
    </row>
    <row r="30" spans="1:12" s="20" customFormat="1" ht="19.5">
      <c r="A30" s="61" t="s">
        <v>71</v>
      </c>
      <c r="B30" s="573">
        <v>855</v>
      </c>
      <c r="C30" s="575">
        <v>0</v>
      </c>
      <c r="D30" s="575">
        <v>0</v>
      </c>
      <c r="E30" s="575">
        <v>0</v>
      </c>
      <c r="F30" s="575">
        <v>0</v>
      </c>
      <c r="G30" s="575">
        <v>0</v>
      </c>
      <c r="H30" s="575">
        <v>11</v>
      </c>
      <c r="I30" s="575">
        <v>455</v>
      </c>
      <c r="J30" s="575">
        <v>367</v>
      </c>
      <c r="K30" s="576">
        <v>22</v>
      </c>
      <c r="L30" s="19">
        <v>22</v>
      </c>
    </row>
    <row r="31" spans="1:12" s="21" customFormat="1" ht="17.25">
      <c r="A31" s="62" t="s">
        <v>72</v>
      </c>
      <c r="B31" s="577">
        <v>13347</v>
      </c>
      <c r="C31" s="578">
        <v>0</v>
      </c>
      <c r="D31" s="578">
        <v>0</v>
      </c>
      <c r="E31" s="578">
        <v>115</v>
      </c>
      <c r="F31" s="578">
        <v>6871</v>
      </c>
      <c r="G31" s="578">
        <v>5331</v>
      </c>
      <c r="H31" s="578">
        <v>846</v>
      </c>
      <c r="I31" s="578">
        <v>176</v>
      </c>
      <c r="J31" s="578">
        <v>8</v>
      </c>
      <c r="K31" s="579">
        <v>0</v>
      </c>
      <c r="L31" s="16">
        <v>0</v>
      </c>
    </row>
    <row r="32" spans="1:12" s="12" customFormat="1" ht="18" thickBot="1">
      <c r="A32" s="63" t="s">
        <v>73</v>
      </c>
      <c r="B32" s="580">
        <v>169</v>
      </c>
      <c r="C32" s="582">
        <v>0</v>
      </c>
      <c r="D32" s="582">
        <v>0</v>
      </c>
      <c r="E32" s="582">
        <v>0</v>
      </c>
      <c r="F32" s="582">
        <v>0</v>
      </c>
      <c r="G32" s="582">
        <v>0</v>
      </c>
      <c r="H32" s="582">
        <v>1</v>
      </c>
      <c r="I32" s="582">
        <v>112</v>
      </c>
      <c r="J32" s="582">
        <v>54</v>
      </c>
      <c r="K32" s="583">
        <v>2</v>
      </c>
      <c r="L32" s="16">
        <v>0</v>
      </c>
    </row>
    <row r="33" spans="1:12" s="12" customFormat="1" ht="18" thickTop="1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16"/>
    </row>
    <row r="34" spans="1:12" s="12" customFormat="1" ht="17.25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16"/>
    </row>
    <row r="35" spans="1:12" s="15" customFormat="1" ht="17.25">
      <c r="A35" s="47" t="s">
        <v>77</v>
      </c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16"/>
    </row>
    <row r="36" spans="1:12" s="23" customFormat="1" ht="13.5">
      <c r="A36" s="58" t="s">
        <v>78</v>
      </c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22"/>
    </row>
    <row r="37" spans="1:12" ht="20.25" thickBot="1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</row>
    <row r="38" spans="1:12" ht="28.5" thickTop="1" thickBot="1">
      <c r="A38" s="48" t="s">
        <v>69</v>
      </c>
      <c r="B38" s="49" t="s">
        <v>1</v>
      </c>
      <c r="C38" s="50" t="s">
        <v>19</v>
      </c>
      <c r="D38" s="51" t="s">
        <v>20</v>
      </c>
      <c r="E38" s="51" t="s">
        <v>21</v>
      </c>
      <c r="F38" s="64" t="s">
        <v>173</v>
      </c>
      <c r="G38" s="64" t="s">
        <v>174</v>
      </c>
      <c r="H38" s="64" t="s">
        <v>175</v>
      </c>
      <c r="I38" s="1134" t="s">
        <v>176</v>
      </c>
      <c r="J38" s="1135"/>
      <c r="K38" s="1135"/>
      <c r="L38" s="1135"/>
    </row>
    <row r="39" spans="1:12" ht="19.5">
      <c r="A39" s="60" t="s">
        <v>2</v>
      </c>
      <c r="B39" s="569">
        <v>17589</v>
      </c>
      <c r="C39" s="570">
        <v>9062</v>
      </c>
      <c r="D39" s="571">
        <v>292</v>
      </c>
      <c r="E39" s="571">
        <v>2037</v>
      </c>
      <c r="F39" s="571">
        <v>1</v>
      </c>
      <c r="G39" s="571">
        <v>4</v>
      </c>
      <c r="H39" s="571">
        <v>6193</v>
      </c>
      <c r="I39" s="1136"/>
      <c r="J39" s="1137"/>
      <c r="K39" s="1137"/>
      <c r="L39" s="1137"/>
    </row>
    <row r="40" spans="1:12" ht="19.5">
      <c r="A40" s="61" t="s">
        <v>71</v>
      </c>
      <c r="B40" s="573">
        <v>923</v>
      </c>
      <c r="C40" s="574">
        <v>335</v>
      </c>
      <c r="D40" s="575">
        <v>37</v>
      </c>
      <c r="E40" s="575">
        <v>548</v>
      </c>
      <c r="F40" s="575">
        <v>1</v>
      </c>
      <c r="G40" s="575">
        <v>1</v>
      </c>
      <c r="H40" s="575">
        <v>1</v>
      </c>
      <c r="I40" s="1132" t="s">
        <v>177</v>
      </c>
      <c r="J40" s="1133"/>
      <c r="K40" s="1133"/>
      <c r="L40" s="1133"/>
    </row>
    <row r="41" spans="1:12" ht="19.5">
      <c r="A41" s="62" t="s">
        <v>72</v>
      </c>
      <c r="B41" s="577">
        <v>16421</v>
      </c>
      <c r="C41" s="574">
        <v>8649</v>
      </c>
      <c r="D41" s="574">
        <v>253</v>
      </c>
      <c r="E41" s="574">
        <v>1376</v>
      </c>
      <c r="F41" s="574">
        <v>0</v>
      </c>
      <c r="G41" s="574">
        <v>3</v>
      </c>
      <c r="H41" s="574">
        <v>6140</v>
      </c>
      <c r="I41" s="1124" t="s">
        <v>178</v>
      </c>
      <c r="J41" s="1125"/>
      <c r="K41" s="1125"/>
      <c r="L41" s="1125"/>
    </row>
    <row r="42" spans="1:12" ht="20.25" thickBot="1">
      <c r="A42" s="63" t="s">
        <v>73</v>
      </c>
      <c r="B42" s="580">
        <v>245</v>
      </c>
      <c r="C42" s="581">
        <v>78</v>
      </c>
      <c r="D42" s="582">
        <v>2</v>
      </c>
      <c r="E42" s="582">
        <v>113</v>
      </c>
      <c r="F42" s="582">
        <v>0</v>
      </c>
      <c r="G42" s="582">
        <v>0</v>
      </c>
      <c r="H42" s="582">
        <v>52</v>
      </c>
      <c r="I42" s="1126" t="s">
        <v>179</v>
      </c>
      <c r="J42" s="1127"/>
      <c r="K42" s="1127"/>
      <c r="L42" s="1127"/>
    </row>
    <row r="43" spans="1:12" ht="20.25" thickTop="1">
      <c r="A43" s="65" t="s">
        <v>86</v>
      </c>
      <c r="B43" s="66"/>
      <c r="C43" s="66"/>
      <c r="D43" s="66"/>
      <c r="E43" s="66"/>
      <c r="F43" s="66"/>
      <c r="G43" s="66"/>
      <c r="H43" s="66"/>
      <c r="I43" s="66"/>
      <c r="J43" s="66"/>
      <c r="K43" s="66"/>
    </row>
    <row r="44" spans="1:12" ht="19.5"/>
    <row r="45" spans="1:12" ht="19.5"/>
    <row r="46" spans="1:12" ht="19.5"/>
    <row r="47" spans="1:12" ht="19.5"/>
    <row r="48" spans="1:12" ht="19.5"/>
    <row r="49" ht="19.5"/>
    <row r="50" ht="19.5"/>
  </sheetData>
  <mergeCells count="3">
    <mergeCell ref="A2:K2"/>
    <mergeCell ref="I6:K6"/>
    <mergeCell ref="D3:F3"/>
  </mergeCells>
  <phoneticPr fontId="3" type="noConversion"/>
  <printOptions horizontalCentered="1"/>
  <pageMargins left="0.31496062992125984" right="0.31496062992125984" top="0.94488188976377963" bottom="0.51181102362204722" header="0.70866141732283472" footer="0.31496062992125984"/>
  <pageSetup paperSize="9" scale="67" fitToWidth="0" fitToHeight="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FFFF00"/>
  </sheetPr>
  <dimension ref="A1:L50"/>
  <sheetViews>
    <sheetView showGridLines="0" zoomScale="85" zoomScaleNormal="85" zoomScaleSheetLayoutView="70" workbookViewId="0">
      <selection activeCell="B8" sqref="B8:B11"/>
    </sheetView>
  </sheetViews>
  <sheetFormatPr defaultColWidth="16.42578125" defaultRowHeight="39.950000000000003" customHeight="1"/>
  <cols>
    <col min="1" max="1" width="15.5703125" style="7" customWidth="1"/>
    <col min="2" max="2" width="14.42578125" style="7" customWidth="1"/>
    <col min="3" max="6" width="10.42578125" style="7" customWidth="1"/>
    <col min="7" max="7" width="12.140625" style="7" customWidth="1"/>
    <col min="8" max="10" width="10.42578125" style="7" customWidth="1"/>
    <col min="11" max="11" width="15.28515625" style="7" customWidth="1"/>
    <col min="12" max="12" width="1.7109375" style="7" customWidth="1"/>
    <col min="13" max="16384" width="16.42578125" style="7"/>
  </cols>
  <sheetData>
    <row r="1" spans="1:12" s="2" customFormat="1" ht="25.5">
      <c r="A1" s="67"/>
      <c r="B1" s="67"/>
      <c r="C1" s="67"/>
      <c r="D1" s="67"/>
      <c r="E1" s="67"/>
      <c r="F1" s="67"/>
      <c r="G1" s="67"/>
      <c r="H1" s="67"/>
      <c r="I1" s="67"/>
      <c r="J1" s="67"/>
      <c r="K1" s="67"/>
      <c r="L1" s="1"/>
    </row>
    <row r="2" spans="1:12" s="2" customFormat="1" ht="26.25">
      <c r="A2" s="1317" t="s">
        <v>180</v>
      </c>
      <c r="B2" s="1317"/>
      <c r="C2" s="1317"/>
      <c r="D2" s="1317"/>
      <c r="E2" s="1317"/>
      <c r="F2" s="1317"/>
      <c r="G2" s="1317"/>
      <c r="H2" s="1317"/>
      <c r="I2" s="1317"/>
      <c r="J2" s="1317"/>
      <c r="K2" s="1317"/>
      <c r="L2" s="1"/>
    </row>
    <row r="3" spans="1:12" s="2" customFormat="1" ht="25.5">
      <c r="A3" s="68"/>
      <c r="B3" s="69"/>
      <c r="C3" s="69"/>
      <c r="D3" s="1318" t="s">
        <v>91</v>
      </c>
      <c r="E3" s="1318"/>
      <c r="F3" s="1318"/>
      <c r="G3" s="69"/>
      <c r="H3" s="69"/>
      <c r="I3" s="69"/>
      <c r="J3" s="69"/>
      <c r="K3" s="69"/>
      <c r="L3" s="1"/>
    </row>
    <row r="4" spans="1:12" s="2" customFormat="1" ht="25.5">
      <c r="A4" s="68"/>
      <c r="B4" s="69"/>
      <c r="C4" s="69"/>
      <c r="D4" s="70"/>
      <c r="E4" s="70"/>
      <c r="F4" s="70"/>
      <c r="G4" s="69"/>
      <c r="H4" s="69"/>
      <c r="I4" s="69"/>
      <c r="J4" s="69"/>
      <c r="K4" s="69"/>
      <c r="L4" s="1"/>
    </row>
    <row r="5" spans="1:12" s="2" customFormat="1" ht="25.5">
      <c r="A5" s="71" t="s">
        <v>87</v>
      </c>
      <c r="B5" s="67"/>
      <c r="C5" s="67"/>
      <c r="D5" s="67"/>
      <c r="E5" s="67"/>
      <c r="F5" s="67"/>
      <c r="G5" s="67"/>
      <c r="H5" s="67"/>
      <c r="I5" s="67"/>
      <c r="J5" s="67"/>
      <c r="K5" s="67"/>
      <c r="L5" s="1"/>
    </row>
    <row r="6" spans="1:12" s="4" customFormat="1" ht="21" thickBot="1">
      <c r="A6" s="67"/>
      <c r="B6" s="67"/>
      <c r="C6" s="67"/>
      <c r="D6" s="67"/>
      <c r="E6" s="67"/>
      <c r="F6" s="67"/>
      <c r="G6" s="67"/>
      <c r="H6" s="67"/>
      <c r="I6" s="1319" t="s">
        <v>188</v>
      </c>
      <c r="J6" s="1319"/>
      <c r="K6" s="1319"/>
      <c r="L6" s="3"/>
    </row>
    <row r="7" spans="1:12" s="5" customFormat="1" ht="21.75" thickTop="1" thickBot="1">
      <c r="A7" s="72" t="s">
        <v>69</v>
      </c>
      <c r="B7" s="73" t="s">
        <v>1</v>
      </c>
      <c r="C7" s="75" t="s">
        <v>11</v>
      </c>
      <c r="D7" s="75" t="s">
        <v>12</v>
      </c>
      <c r="E7" s="75" t="s">
        <v>13</v>
      </c>
      <c r="F7" s="75" t="s">
        <v>14</v>
      </c>
      <c r="G7" s="75" t="s">
        <v>15</v>
      </c>
      <c r="H7" s="75" t="s">
        <v>16</v>
      </c>
      <c r="I7" s="75" t="s">
        <v>17</v>
      </c>
      <c r="J7" s="75" t="s">
        <v>18</v>
      </c>
      <c r="K7" s="1138" t="s">
        <v>166</v>
      </c>
      <c r="L7" s="6"/>
    </row>
    <row r="8" spans="1:12" ht="19.5">
      <c r="A8" s="76" t="s">
        <v>2</v>
      </c>
      <c r="B8" s="584">
        <v>15251</v>
      </c>
      <c r="C8" s="585">
        <v>0</v>
      </c>
      <c r="D8" s="585">
        <v>0</v>
      </c>
      <c r="E8" s="585">
        <v>203</v>
      </c>
      <c r="F8" s="585">
        <v>7873</v>
      </c>
      <c r="G8" s="585">
        <v>5207</v>
      </c>
      <c r="H8" s="585">
        <v>592</v>
      </c>
      <c r="I8" s="585">
        <v>876</v>
      </c>
      <c r="J8" s="585">
        <v>479</v>
      </c>
      <c r="K8" s="586">
        <v>21</v>
      </c>
      <c r="L8" s="8"/>
    </row>
    <row r="9" spans="1:12" s="10" customFormat="1" ht="17.25">
      <c r="A9" s="77" t="s">
        <v>71</v>
      </c>
      <c r="B9" s="587">
        <v>1286</v>
      </c>
      <c r="C9" s="588">
        <v>0</v>
      </c>
      <c r="D9" s="588">
        <v>0</v>
      </c>
      <c r="E9" s="588">
        <v>0</v>
      </c>
      <c r="F9" s="588">
        <v>0</v>
      </c>
      <c r="G9" s="588">
        <v>0</v>
      </c>
      <c r="H9" s="588">
        <v>30</v>
      </c>
      <c r="I9" s="588">
        <v>768</v>
      </c>
      <c r="J9" s="588">
        <v>468</v>
      </c>
      <c r="K9" s="589">
        <v>20</v>
      </c>
      <c r="L9" s="9"/>
    </row>
    <row r="10" spans="1:12" s="12" customFormat="1" ht="17.25">
      <c r="A10" s="78" t="s">
        <v>72</v>
      </c>
      <c r="B10" s="590">
        <v>13929</v>
      </c>
      <c r="C10" s="591">
        <v>0</v>
      </c>
      <c r="D10" s="591">
        <v>0</v>
      </c>
      <c r="E10" s="591">
        <v>203</v>
      </c>
      <c r="F10" s="591">
        <v>7873</v>
      </c>
      <c r="G10" s="591">
        <v>5207</v>
      </c>
      <c r="H10" s="591">
        <v>562</v>
      </c>
      <c r="I10" s="591">
        <v>83</v>
      </c>
      <c r="J10" s="591">
        <v>1</v>
      </c>
      <c r="K10" s="592">
        <v>0</v>
      </c>
      <c r="L10" s="11"/>
    </row>
    <row r="11" spans="1:12" s="12" customFormat="1" ht="18" thickBot="1">
      <c r="A11" s="79" t="s">
        <v>182</v>
      </c>
      <c r="B11" s="593">
        <v>36</v>
      </c>
      <c r="C11" s="594">
        <v>0</v>
      </c>
      <c r="D11" s="594">
        <v>0</v>
      </c>
      <c r="E11" s="594">
        <v>0</v>
      </c>
      <c r="F11" s="594">
        <v>0</v>
      </c>
      <c r="G11" s="594">
        <v>0</v>
      </c>
      <c r="H11" s="594">
        <v>0</v>
      </c>
      <c r="I11" s="594">
        <v>25</v>
      </c>
      <c r="J11" s="594">
        <v>10</v>
      </c>
      <c r="K11" s="595">
        <v>1</v>
      </c>
      <c r="L11" s="11"/>
    </row>
    <row r="12" spans="1:12" s="12" customFormat="1" ht="18" thickTop="1">
      <c r="A12" s="80" t="s">
        <v>183</v>
      </c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11"/>
    </row>
    <row r="13" spans="1:12" s="12" customFormat="1" ht="17.25">
      <c r="A13" s="67"/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11"/>
    </row>
    <row r="14" spans="1:12" s="13" customFormat="1" ht="16.5">
      <c r="A14" s="67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14"/>
    </row>
    <row r="15" spans="1:12" s="15" customFormat="1" ht="13.5">
      <c r="A15" s="81" t="s">
        <v>184</v>
      </c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16"/>
    </row>
    <row r="16" spans="1:12" s="10" customFormat="1" ht="17.25">
      <c r="A16" s="81" t="s">
        <v>185</v>
      </c>
      <c r="B16" s="81"/>
      <c r="C16" s="81"/>
      <c r="D16" s="81"/>
      <c r="E16" s="81"/>
      <c r="F16" s="81"/>
      <c r="G16" s="81"/>
      <c r="H16" s="81"/>
      <c r="I16" s="81"/>
      <c r="J16" s="81"/>
      <c r="K16" s="81"/>
      <c r="L16" s="9"/>
    </row>
    <row r="17" spans="1:12" s="10" customFormat="1" ht="18" thickBot="1">
      <c r="A17" s="82"/>
      <c r="B17" s="67"/>
      <c r="C17" s="67"/>
      <c r="D17" s="67"/>
      <c r="E17" s="67"/>
      <c r="F17" s="67"/>
      <c r="G17" s="67"/>
      <c r="H17" s="67"/>
      <c r="I17" s="67"/>
      <c r="J17" s="67"/>
      <c r="K17" s="67"/>
      <c r="L17" s="9"/>
    </row>
    <row r="18" spans="1:12" s="12" customFormat="1" ht="18.75" thickTop="1" thickBot="1">
      <c r="A18" s="72" t="s">
        <v>181</v>
      </c>
      <c r="B18" s="73" t="s">
        <v>1</v>
      </c>
      <c r="C18" s="75" t="s">
        <v>11</v>
      </c>
      <c r="D18" s="75" t="s">
        <v>12</v>
      </c>
      <c r="E18" s="75" t="s">
        <v>13</v>
      </c>
      <c r="F18" s="75" t="s">
        <v>14</v>
      </c>
      <c r="G18" s="75" t="s">
        <v>15</v>
      </c>
      <c r="H18" s="75" t="s">
        <v>16</v>
      </c>
      <c r="I18" s="75" t="s">
        <v>17</v>
      </c>
      <c r="J18" s="75" t="s">
        <v>18</v>
      </c>
      <c r="K18" s="1138" t="s">
        <v>166</v>
      </c>
      <c r="L18" s="11"/>
    </row>
    <row r="19" spans="1:12" s="12" customFormat="1" ht="17.25">
      <c r="A19" s="83" t="s">
        <v>2</v>
      </c>
      <c r="B19" s="596">
        <v>7137</v>
      </c>
      <c r="C19" s="598">
        <v>0</v>
      </c>
      <c r="D19" s="598">
        <v>0</v>
      </c>
      <c r="E19" s="598">
        <v>86</v>
      </c>
      <c r="F19" s="598">
        <v>3571</v>
      </c>
      <c r="G19" s="598">
        <v>2224</v>
      </c>
      <c r="H19" s="598">
        <v>266</v>
      </c>
      <c r="I19" s="598">
        <v>655</v>
      </c>
      <c r="J19" s="598">
        <v>323</v>
      </c>
      <c r="K19" s="599">
        <v>12</v>
      </c>
      <c r="L19" s="11"/>
    </row>
    <row r="20" spans="1:12" s="12" customFormat="1" ht="17.25">
      <c r="A20" s="84" t="s">
        <v>71</v>
      </c>
      <c r="B20" s="600">
        <v>965</v>
      </c>
      <c r="C20" s="602">
        <v>0</v>
      </c>
      <c r="D20" s="602">
        <v>0</v>
      </c>
      <c r="E20" s="602">
        <v>0</v>
      </c>
      <c r="F20" s="602">
        <v>0</v>
      </c>
      <c r="G20" s="602">
        <v>0</v>
      </c>
      <c r="H20" s="602">
        <v>29</v>
      </c>
      <c r="I20" s="602">
        <v>605</v>
      </c>
      <c r="J20" s="602">
        <v>319</v>
      </c>
      <c r="K20" s="603">
        <v>12</v>
      </c>
      <c r="L20" s="11"/>
    </row>
    <row r="21" spans="1:12" s="12" customFormat="1" ht="17.25">
      <c r="A21" s="85" t="s">
        <v>72</v>
      </c>
      <c r="B21" s="604">
        <v>6157</v>
      </c>
      <c r="C21" s="606">
        <v>0</v>
      </c>
      <c r="D21" s="606">
        <v>0</v>
      </c>
      <c r="E21" s="606">
        <v>86</v>
      </c>
      <c r="F21" s="606">
        <v>3571</v>
      </c>
      <c r="G21" s="606">
        <v>2224</v>
      </c>
      <c r="H21" s="606">
        <v>237</v>
      </c>
      <c r="I21" s="606">
        <v>39</v>
      </c>
      <c r="J21" s="606">
        <v>0</v>
      </c>
      <c r="K21" s="607">
        <v>0</v>
      </c>
      <c r="L21" s="11"/>
    </row>
    <row r="22" spans="1:12" s="17" customFormat="1" ht="20.25" thickBot="1">
      <c r="A22" s="86" t="s">
        <v>182</v>
      </c>
      <c r="B22" s="608">
        <v>15</v>
      </c>
      <c r="C22" s="610">
        <v>0</v>
      </c>
      <c r="D22" s="610">
        <v>0</v>
      </c>
      <c r="E22" s="610">
        <v>0</v>
      </c>
      <c r="F22" s="610">
        <v>0</v>
      </c>
      <c r="G22" s="610">
        <v>0</v>
      </c>
      <c r="H22" s="610">
        <v>0</v>
      </c>
      <c r="I22" s="610">
        <v>11</v>
      </c>
      <c r="J22" s="610">
        <v>4</v>
      </c>
      <c r="K22" s="611">
        <v>0</v>
      </c>
      <c r="L22" s="8"/>
    </row>
    <row r="23" spans="1:12" s="18" customFormat="1" ht="18" thickTop="1">
      <c r="A23" s="67"/>
      <c r="B23" s="67"/>
      <c r="C23" s="67"/>
      <c r="D23" s="67"/>
      <c r="E23" s="67"/>
      <c r="F23" s="67"/>
      <c r="G23" s="67"/>
      <c r="H23" s="67"/>
      <c r="I23" s="67"/>
      <c r="J23" s="67"/>
      <c r="K23" s="67"/>
      <c r="L23" s="9"/>
    </row>
    <row r="24" spans="1:12" s="10" customFormat="1" ht="17.25">
      <c r="A24" s="67"/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9"/>
    </row>
    <row r="25" spans="1:12" s="12" customFormat="1" ht="17.25">
      <c r="A25" s="81" t="s">
        <v>184</v>
      </c>
      <c r="B25" s="81"/>
      <c r="C25" s="81"/>
      <c r="D25" s="81"/>
      <c r="E25" s="81"/>
      <c r="F25" s="81"/>
      <c r="G25" s="81"/>
      <c r="H25" s="81"/>
      <c r="I25" s="81"/>
      <c r="J25" s="81"/>
      <c r="K25" s="81"/>
      <c r="L25" s="11"/>
    </row>
    <row r="26" spans="1:12" s="12" customFormat="1" ht="17.25">
      <c r="A26" s="81" t="s">
        <v>186</v>
      </c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11"/>
    </row>
    <row r="27" spans="1:12" s="12" customFormat="1" ht="18" thickBot="1">
      <c r="A27" s="82"/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11"/>
    </row>
    <row r="28" spans="1:12" s="12" customFormat="1" ht="18.75" thickTop="1" thickBot="1">
      <c r="A28" s="72" t="s">
        <v>181</v>
      </c>
      <c r="B28" s="73" t="s">
        <v>1</v>
      </c>
      <c r="C28" s="75" t="s">
        <v>11</v>
      </c>
      <c r="D28" s="75" t="s">
        <v>12</v>
      </c>
      <c r="E28" s="75" t="s">
        <v>13</v>
      </c>
      <c r="F28" s="75" t="s">
        <v>14</v>
      </c>
      <c r="G28" s="75" t="s">
        <v>15</v>
      </c>
      <c r="H28" s="75" t="s">
        <v>16</v>
      </c>
      <c r="I28" s="75" t="s">
        <v>17</v>
      </c>
      <c r="J28" s="75" t="s">
        <v>18</v>
      </c>
      <c r="K28" s="1138" t="s">
        <v>166</v>
      </c>
      <c r="L28" s="11"/>
    </row>
    <row r="29" spans="1:12" ht="19.5">
      <c r="A29" s="83" t="s">
        <v>2</v>
      </c>
      <c r="B29" s="596">
        <v>8114</v>
      </c>
      <c r="C29" s="598">
        <v>0</v>
      </c>
      <c r="D29" s="598">
        <v>0</v>
      </c>
      <c r="E29" s="598">
        <v>117</v>
      </c>
      <c r="F29" s="598">
        <v>4302</v>
      </c>
      <c r="G29" s="598">
        <v>2983</v>
      </c>
      <c r="H29" s="598">
        <v>326</v>
      </c>
      <c r="I29" s="598">
        <v>221</v>
      </c>
      <c r="J29" s="598">
        <v>156</v>
      </c>
      <c r="K29" s="599">
        <v>9</v>
      </c>
      <c r="L29" s="8"/>
    </row>
    <row r="30" spans="1:12" s="20" customFormat="1" ht="19.5">
      <c r="A30" s="84" t="s">
        <v>71</v>
      </c>
      <c r="B30" s="600">
        <v>321</v>
      </c>
      <c r="C30" s="602">
        <v>0</v>
      </c>
      <c r="D30" s="602">
        <v>0</v>
      </c>
      <c r="E30" s="602">
        <v>0</v>
      </c>
      <c r="F30" s="602">
        <v>0</v>
      </c>
      <c r="G30" s="602">
        <v>0</v>
      </c>
      <c r="H30" s="602">
        <v>1</v>
      </c>
      <c r="I30" s="602">
        <v>163</v>
      </c>
      <c r="J30" s="602">
        <v>149</v>
      </c>
      <c r="K30" s="603">
        <v>8</v>
      </c>
      <c r="L30" s="19"/>
    </row>
    <row r="31" spans="1:12" s="21" customFormat="1" ht="17.25">
      <c r="A31" s="85" t="s">
        <v>72</v>
      </c>
      <c r="B31" s="604">
        <v>7772</v>
      </c>
      <c r="C31" s="606">
        <v>0</v>
      </c>
      <c r="D31" s="606">
        <v>0</v>
      </c>
      <c r="E31" s="606">
        <v>117</v>
      </c>
      <c r="F31" s="606">
        <v>4302</v>
      </c>
      <c r="G31" s="606">
        <v>2983</v>
      </c>
      <c r="H31" s="606">
        <v>325</v>
      </c>
      <c r="I31" s="606">
        <v>44</v>
      </c>
      <c r="J31" s="606">
        <v>1</v>
      </c>
      <c r="K31" s="607">
        <v>0</v>
      </c>
      <c r="L31" s="16"/>
    </row>
    <row r="32" spans="1:12" s="12" customFormat="1" ht="18" thickBot="1">
      <c r="A32" s="86" t="s">
        <v>182</v>
      </c>
      <c r="B32" s="608">
        <v>21</v>
      </c>
      <c r="C32" s="610">
        <v>0</v>
      </c>
      <c r="D32" s="610">
        <v>0</v>
      </c>
      <c r="E32" s="610">
        <v>0</v>
      </c>
      <c r="F32" s="610">
        <v>0</v>
      </c>
      <c r="G32" s="610">
        <v>0</v>
      </c>
      <c r="H32" s="610">
        <v>0</v>
      </c>
      <c r="I32" s="610">
        <v>14</v>
      </c>
      <c r="J32" s="610">
        <v>6</v>
      </c>
      <c r="K32" s="611">
        <v>1</v>
      </c>
      <c r="L32" s="16"/>
    </row>
    <row r="33" spans="1:12" s="12" customFormat="1" ht="18" thickTop="1">
      <c r="A33" s="67"/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16"/>
    </row>
    <row r="34" spans="1:12" s="12" customFormat="1" ht="17.25">
      <c r="A34" s="67"/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16"/>
    </row>
    <row r="35" spans="1:12" s="15" customFormat="1" ht="17.25">
      <c r="A35" s="71" t="s">
        <v>77</v>
      </c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16"/>
    </row>
    <row r="36" spans="1:12" s="23" customFormat="1" ht="13.5">
      <c r="A36" s="81" t="s">
        <v>78</v>
      </c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22"/>
    </row>
    <row r="37" spans="1:12" ht="20.25" thickBot="1">
      <c r="A37" s="67"/>
      <c r="B37" s="67"/>
      <c r="C37" s="67"/>
      <c r="D37" s="67"/>
      <c r="E37" s="67"/>
      <c r="F37" s="67"/>
      <c r="G37" s="67"/>
      <c r="H37" s="67"/>
      <c r="I37" s="67"/>
      <c r="J37" s="67"/>
      <c r="K37" s="67"/>
    </row>
    <row r="38" spans="1:12" ht="28.5" thickTop="1" thickBot="1">
      <c r="A38" s="72" t="s">
        <v>69</v>
      </c>
      <c r="B38" s="73" t="s">
        <v>1</v>
      </c>
      <c r="C38" s="74" t="s">
        <v>19</v>
      </c>
      <c r="D38" s="75" t="s">
        <v>20</v>
      </c>
      <c r="E38" s="75" t="s">
        <v>21</v>
      </c>
      <c r="F38" s="87" t="s">
        <v>173</v>
      </c>
      <c r="G38" s="87" t="s">
        <v>174</v>
      </c>
      <c r="H38" s="87" t="s">
        <v>175</v>
      </c>
      <c r="I38" s="1138" t="s">
        <v>176</v>
      </c>
      <c r="J38" s="1139"/>
      <c r="K38" s="1139"/>
      <c r="L38" s="1139"/>
    </row>
    <row r="39" spans="1:12" ht="19.5">
      <c r="A39" s="83" t="s">
        <v>2</v>
      </c>
      <c r="B39" s="596">
        <v>10346</v>
      </c>
      <c r="C39" s="597">
        <v>4969</v>
      </c>
      <c r="D39" s="598">
        <v>143</v>
      </c>
      <c r="E39" s="598">
        <v>682</v>
      </c>
      <c r="F39" s="598">
        <v>0</v>
      </c>
      <c r="G39" s="598">
        <v>1</v>
      </c>
      <c r="H39" s="598">
        <v>4551</v>
      </c>
      <c r="I39" s="1140"/>
      <c r="J39" s="1141"/>
      <c r="K39" s="1141"/>
      <c r="L39" s="1141"/>
    </row>
    <row r="40" spans="1:12" ht="19.5">
      <c r="A40" s="84" t="s">
        <v>71</v>
      </c>
      <c r="B40" s="600">
        <v>345</v>
      </c>
      <c r="C40" s="601">
        <v>128</v>
      </c>
      <c r="D40" s="602">
        <v>16</v>
      </c>
      <c r="E40" s="602">
        <v>200</v>
      </c>
      <c r="F40" s="602">
        <v>0</v>
      </c>
      <c r="G40" s="602">
        <v>0</v>
      </c>
      <c r="H40" s="602">
        <v>1</v>
      </c>
      <c r="I40" s="1132" t="s">
        <v>177</v>
      </c>
      <c r="J40" s="1133"/>
      <c r="K40" s="1133"/>
      <c r="L40" s="1133"/>
    </row>
    <row r="41" spans="1:12" ht="19.5">
      <c r="A41" s="85" t="s">
        <v>72</v>
      </c>
      <c r="B41" s="604">
        <v>9973</v>
      </c>
      <c r="C41" s="605">
        <v>4832</v>
      </c>
      <c r="D41" s="606">
        <v>125</v>
      </c>
      <c r="E41" s="606">
        <v>473</v>
      </c>
      <c r="F41" s="606">
        <v>0</v>
      </c>
      <c r="G41" s="606">
        <v>1</v>
      </c>
      <c r="H41" s="606">
        <v>4542</v>
      </c>
      <c r="I41" s="1124" t="s">
        <v>178</v>
      </c>
      <c r="J41" s="1125"/>
      <c r="K41" s="1125"/>
      <c r="L41" s="1125"/>
    </row>
    <row r="42" spans="1:12" ht="20.25" thickBot="1">
      <c r="A42" s="86" t="s">
        <v>73</v>
      </c>
      <c r="B42" s="608">
        <v>28</v>
      </c>
      <c r="C42" s="609">
        <v>9</v>
      </c>
      <c r="D42" s="610">
        <v>2</v>
      </c>
      <c r="E42" s="610">
        <v>9</v>
      </c>
      <c r="F42" s="610">
        <v>0</v>
      </c>
      <c r="G42" s="610">
        <v>0</v>
      </c>
      <c r="H42" s="610">
        <v>8</v>
      </c>
      <c r="I42" s="1126" t="s">
        <v>179</v>
      </c>
      <c r="J42" s="1127"/>
      <c r="K42" s="1127"/>
      <c r="L42" s="1127"/>
    </row>
    <row r="43" spans="1:12" ht="20.25" thickTop="1">
      <c r="A43" s="88" t="s">
        <v>86</v>
      </c>
      <c r="B43" s="89"/>
      <c r="C43" s="89"/>
      <c r="D43" s="89"/>
      <c r="E43" s="89"/>
      <c r="F43" s="89"/>
      <c r="G43" s="89"/>
      <c r="H43" s="89"/>
      <c r="I43" s="89"/>
      <c r="J43" s="89"/>
      <c r="K43" s="89"/>
    </row>
    <row r="44" spans="1:12" ht="19.5"/>
    <row r="45" spans="1:12" ht="19.5"/>
    <row r="46" spans="1:12" ht="19.5"/>
    <row r="47" spans="1:12" ht="19.5"/>
    <row r="48" spans="1:12" ht="19.5"/>
    <row r="49" ht="19.5"/>
    <row r="50" ht="19.5"/>
  </sheetData>
  <mergeCells count="3">
    <mergeCell ref="A2:K2"/>
    <mergeCell ref="D3:F3"/>
    <mergeCell ref="I6:K6"/>
  </mergeCells>
  <phoneticPr fontId="3" type="noConversion"/>
  <printOptions horizontalCentered="1"/>
  <pageMargins left="0.31496062992125984" right="0.31496062992125984" top="0.94488188976377963" bottom="0.51181102362204722" header="0.70866141732283472" footer="0.31496062992125984"/>
  <pageSetup paperSize="9" scale="67" fitToWidth="0" fitToHeight="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L50"/>
  <sheetViews>
    <sheetView showGridLines="0" zoomScale="85" zoomScaleNormal="85" zoomScaleSheetLayoutView="70" workbookViewId="0">
      <selection activeCell="B8" sqref="B8:B11"/>
    </sheetView>
  </sheetViews>
  <sheetFormatPr defaultColWidth="16.42578125" defaultRowHeight="39.950000000000003" customHeight="1"/>
  <cols>
    <col min="1" max="1" width="15.5703125" style="7" customWidth="1"/>
    <col min="2" max="2" width="14.42578125" style="7" customWidth="1"/>
    <col min="3" max="6" width="10.42578125" style="7" customWidth="1"/>
    <col min="7" max="7" width="12.140625" style="7" customWidth="1"/>
    <col min="8" max="10" width="10.42578125" style="7" customWidth="1"/>
    <col min="11" max="11" width="15.5703125" style="7" customWidth="1"/>
    <col min="12" max="12" width="1.7109375" style="7" customWidth="1"/>
    <col min="13" max="16384" width="16.42578125" style="7"/>
  </cols>
  <sheetData>
    <row r="1" spans="1:12" s="2" customFormat="1" ht="25.5">
      <c r="A1" s="90"/>
      <c r="B1" s="90"/>
      <c r="C1" s="90"/>
      <c r="D1" s="90"/>
      <c r="E1" s="90"/>
      <c r="F1" s="90"/>
      <c r="G1" s="90"/>
      <c r="H1" s="90"/>
      <c r="I1" s="90"/>
      <c r="J1" s="90"/>
      <c r="K1" s="90"/>
      <c r="L1" s="1"/>
    </row>
    <row r="2" spans="1:12" s="2" customFormat="1" ht="26.25">
      <c r="A2" s="1320" t="s">
        <v>67</v>
      </c>
      <c r="B2" s="1320"/>
      <c r="C2" s="1320"/>
      <c r="D2" s="1320"/>
      <c r="E2" s="1320"/>
      <c r="F2" s="1320"/>
      <c r="G2" s="1320"/>
      <c r="H2" s="1320"/>
      <c r="I2" s="1320"/>
      <c r="J2" s="1320"/>
      <c r="K2" s="1320"/>
      <c r="L2" s="1"/>
    </row>
    <row r="3" spans="1:12" s="2" customFormat="1" ht="25.5">
      <c r="A3" s="91"/>
      <c r="B3" s="92"/>
      <c r="C3" s="92"/>
      <c r="D3" s="1322" t="s">
        <v>92</v>
      </c>
      <c r="E3" s="1322"/>
      <c r="F3" s="1322"/>
      <c r="G3" s="92"/>
      <c r="H3" s="92"/>
      <c r="I3" s="92"/>
      <c r="J3" s="92"/>
      <c r="K3" s="92"/>
      <c r="L3" s="1"/>
    </row>
    <row r="4" spans="1:12" s="2" customFormat="1" ht="25.5">
      <c r="A4" s="91"/>
      <c r="B4" s="92"/>
      <c r="C4" s="92"/>
      <c r="D4" s="93"/>
      <c r="E4" s="93"/>
      <c r="F4" s="93"/>
      <c r="G4" s="92"/>
      <c r="H4" s="92"/>
      <c r="I4" s="92"/>
      <c r="J4" s="92"/>
      <c r="K4" s="92"/>
      <c r="L4" s="1"/>
    </row>
    <row r="5" spans="1:12" s="2" customFormat="1" ht="25.5">
      <c r="A5" s="94" t="s">
        <v>87</v>
      </c>
      <c r="B5" s="90"/>
      <c r="C5" s="90"/>
      <c r="D5" s="90"/>
      <c r="E5" s="90"/>
      <c r="F5" s="90"/>
      <c r="G5" s="90"/>
      <c r="H5" s="90"/>
      <c r="I5" s="90"/>
      <c r="J5" s="90"/>
      <c r="K5" s="90"/>
      <c r="L5" s="1"/>
    </row>
    <row r="6" spans="1:12" s="4" customFormat="1" ht="21" thickBot="1">
      <c r="A6" s="90"/>
      <c r="B6" s="90"/>
      <c r="C6" s="90"/>
      <c r="D6" s="90"/>
      <c r="E6" s="90"/>
      <c r="F6" s="90"/>
      <c r="G6" s="90"/>
      <c r="H6" s="90"/>
      <c r="I6" s="1321" t="s">
        <v>189</v>
      </c>
      <c r="J6" s="1321"/>
      <c r="K6" s="1321"/>
      <c r="L6" s="3"/>
    </row>
    <row r="7" spans="1:12" s="5" customFormat="1" ht="21.75" thickTop="1" thickBot="1">
      <c r="A7" s="95" t="s">
        <v>69</v>
      </c>
      <c r="B7" s="96" t="s">
        <v>1</v>
      </c>
      <c r="C7" s="98" t="s">
        <v>11</v>
      </c>
      <c r="D7" s="98" t="s">
        <v>12</v>
      </c>
      <c r="E7" s="98" t="s">
        <v>13</v>
      </c>
      <c r="F7" s="98" t="s">
        <v>14</v>
      </c>
      <c r="G7" s="98" t="s">
        <v>15</v>
      </c>
      <c r="H7" s="98" t="s">
        <v>16</v>
      </c>
      <c r="I7" s="98" t="s">
        <v>17</v>
      </c>
      <c r="J7" s="98" t="s">
        <v>18</v>
      </c>
      <c r="K7" s="99" t="s">
        <v>166</v>
      </c>
      <c r="L7" s="6"/>
    </row>
    <row r="8" spans="1:12" ht="19.5">
      <c r="A8" s="100" t="s">
        <v>2</v>
      </c>
      <c r="B8" s="612">
        <v>7985</v>
      </c>
      <c r="C8" s="613">
        <v>0</v>
      </c>
      <c r="D8" s="613">
        <v>0</v>
      </c>
      <c r="E8" s="613">
        <v>112</v>
      </c>
      <c r="F8" s="613">
        <v>4027</v>
      </c>
      <c r="G8" s="613">
        <v>2551</v>
      </c>
      <c r="H8" s="613">
        <v>332</v>
      </c>
      <c r="I8" s="613">
        <v>628</v>
      </c>
      <c r="J8" s="613">
        <v>316</v>
      </c>
      <c r="K8" s="614">
        <v>19</v>
      </c>
      <c r="L8" s="8"/>
    </row>
    <row r="9" spans="1:12" s="10" customFormat="1" ht="17.25">
      <c r="A9" s="101" t="s">
        <v>71</v>
      </c>
      <c r="B9" s="615">
        <v>910</v>
      </c>
      <c r="C9" s="616">
        <v>0</v>
      </c>
      <c r="D9" s="616">
        <v>0</v>
      </c>
      <c r="E9" s="616">
        <v>0</v>
      </c>
      <c r="F9" s="616">
        <v>0</v>
      </c>
      <c r="G9" s="616">
        <v>1</v>
      </c>
      <c r="H9" s="616">
        <v>13</v>
      </c>
      <c r="I9" s="616">
        <v>567</v>
      </c>
      <c r="J9" s="616">
        <v>310</v>
      </c>
      <c r="K9" s="617">
        <v>19</v>
      </c>
      <c r="L9" s="9"/>
    </row>
    <row r="10" spans="1:12" s="12" customFormat="1" ht="17.25">
      <c r="A10" s="102" t="s">
        <v>72</v>
      </c>
      <c r="B10" s="618">
        <v>7051</v>
      </c>
      <c r="C10" s="619">
        <v>0</v>
      </c>
      <c r="D10" s="619">
        <v>0</v>
      </c>
      <c r="E10" s="619">
        <v>112</v>
      </c>
      <c r="F10" s="619">
        <v>4027</v>
      </c>
      <c r="G10" s="619">
        <v>2550</v>
      </c>
      <c r="H10" s="619">
        <v>319</v>
      </c>
      <c r="I10" s="619">
        <v>43</v>
      </c>
      <c r="J10" s="619">
        <v>0</v>
      </c>
      <c r="K10" s="620">
        <v>0</v>
      </c>
      <c r="L10" s="11"/>
    </row>
    <row r="11" spans="1:12" s="12" customFormat="1" ht="18" thickBot="1">
      <c r="A11" s="103" t="s">
        <v>73</v>
      </c>
      <c r="B11" s="621">
        <v>24</v>
      </c>
      <c r="C11" s="622">
        <v>0</v>
      </c>
      <c r="D11" s="622">
        <v>0</v>
      </c>
      <c r="E11" s="622">
        <v>0</v>
      </c>
      <c r="F11" s="622">
        <v>0</v>
      </c>
      <c r="G11" s="622">
        <v>0</v>
      </c>
      <c r="H11" s="622">
        <v>0</v>
      </c>
      <c r="I11" s="622">
        <v>18</v>
      </c>
      <c r="J11" s="622">
        <v>6</v>
      </c>
      <c r="K11" s="623">
        <v>0</v>
      </c>
      <c r="L11" s="11"/>
    </row>
    <row r="12" spans="1:12" s="12" customFormat="1" ht="18" thickTop="1">
      <c r="A12" s="104" t="s">
        <v>74</v>
      </c>
      <c r="B12" s="90"/>
      <c r="C12" s="90"/>
      <c r="D12" s="90"/>
      <c r="E12" s="90"/>
      <c r="F12" s="90"/>
      <c r="G12" s="90"/>
      <c r="H12" s="90"/>
      <c r="I12" s="90"/>
      <c r="J12" s="90"/>
      <c r="K12" s="90"/>
      <c r="L12" s="11"/>
    </row>
    <row r="13" spans="1:12" s="12" customFormat="1" ht="17.25">
      <c r="A13" s="90"/>
      <c r="B13" s="90"/>
      <c r="C13" s="90"/>
      <c r="D13" s="90"/>
      <c r="E13" s="90"/>
      <c r="F13" s="90"/>
      <c r="G13" s="90"/>
      <c r="H13" s="90"/>
      <c r="I13" s="90"/>
      <c r="J13" s="90"/>
      <c r="K13" s="90"/>
      <c r="L13" s="11"/>
    </row>
    <row r="14" spans="1:12" s="13" customFormat="1" ht="16.5">
      <c r="A14" s="90"/>
      <c r="B14" s="90"/>
      <c r="C14" s="90"/>
      <c r="D14" s="90"/>
      <c r="E14" s="90"/>
      <c r="F14" s="90"/>
      <c r="G14" s="90"/>
      <c r="H14" s="90"/>
      <c r="I14" s="90"/>
      <c r="J14" s="90"/>
      <c r="K14" s="90"/>
      <c r="L14" s="14"/>
    </row>
    <row r="15" spans="1:12" s="15" customFormat="1" ht="13.5">
      <c r="A15" s="105" t="s">
        <v>88</v>
      </c>
      <c r="B15" s="105"/>
      <c r="C15" s="105"/>
      <c r="D15" s="105"/>
      <c r="E15" s="105"/>
      <c r="F15" s="105"/>
      <c r="G15" s="105"/>
      <c r="H15" s="105"/>
      <c r="I15" s="105"/>
      <c r="J15" s="105"/>
      <c r="K15" s="105"/>
      <c r="L15" s="16"/>
    </row>
    <row r="16" spans="1:12" s="10" customFormat="1" ht="17.25">
      <c r="A16" s="105" t="s">
        <v>75</v>
      </c>
      <c r="B16" s="105"/>
      <c r="C16" s="105"/>
      <c r="D16" s="105"/>
      <c r="E16" s="105"/>
      <c r="F16" s="105"/>
      <c r="G16" s="105"/>
      <c r="H16" s="105"/>
      <c r="I16" s="105"/>
      <c r="J16" s="105"/>
      <c r="K16" s="105"/>
      <c r="L16" s="9"/>
    </row>
    <row r="17" spans="1:12" s="10" customFormat="1" ht="18" thickBot="1">
      <c r="A17" s="106"/>
      <c r="B17" s="90"/>
      <c r="C17" s="90"/>
      <c r="D17" s="90"/>
      <c r="E17" s="90"/>
      <c r="F17" s="90"/>
      <c r="G17" s="90"/>
      <c r="H17" s="90"/>
      <c r="I17" s="90"/>
      <c r="J17" s="90"/>
      <c r="K17" s="90"/>
      <c r="L17" s="9"/>
    </row>
    <row r="18" spans="1:12" s="12" customFormat="1" ht="18.75" thickTop="1" thickBot="1">
      <c r="A18" s="95" t="s">
        <v>69</v>
      </c>
      <c r="B18" s="96" t="s">
        <v>1</v>
      </c>
      <c r="C18" s="98" t="s">
        <v>11</v>
      </c>
      <c r="D18" s="98" t="s">
        <v>12</v>
      </c>
      <c r="E18" s="98" t="s">
        <v>13</v>
      </c>
      <c r="F18" s="98" t="s">
        <v>14</v>
      </c>
      <c r="G18" s="98" t="s">
        <v>15</v>
      </c>
      <c r="H18" s="98" t="s">
        <v>16</v>
      </c>
      <c r="I18" s="98" t="s">
        <v>17</v>
      </c>
      <c r="J18" s="98" t="s">
        <v>18</v>
      </c>
      <c r="K18" s="1142" t="s">
        <v>166</v>
      </c>
      <c r="L18" s="11"/>
    </row>
    <row r="19" spans="1:12" s="12" customFormat="1" ht="17.25">
      <c r="A19" s="107" t="s">
        <v>2</v>
      </c>
      <c r="B19" s="624">
        <v>2852</v>
      </c>
      <c r="C19" s="626">
        <v>0</v>
      </c>
      <c r="D19" s="626">
        <v>0</v>
      </c>
      <c r="E19" s="626">
        <v>37</v>
      </c>
      <c r="F19" s="626">
        <v>1274</v>
      </c>
      <c r="G19" s="626">
        <v>754</v>
      </c>
      <c r="H19" s="626">
        <v>114</v>
      </c>
      <c r="I19" s="626">
        <v>439</v>
      </c>
      <c r="J19" s="626">
        <v>220</v>
      </c>
      <c r="K19" s="627">
        <v>14</v>
      </c>
      <c r="L19" s="11"/>
    </row>
    <row r="20" spans="1:12" s="12" customFormat="1" ht="17.25">
      <c r="A20" s="108" t="s">
        <v>71</v>
      </c>
      <c r="B20" s="628">
        <v>665</v>
      </c>
      <c r="C20" s="630">
        <v>0</v>
      </c>
      <c r="D20" s="630">
        <v>0</v>
      </c>
      <c r="E20" s="630">
        <v>0</v>
      </c>
      <c r="F20" s="630">
        <v>0</v>
      </c>
      <c r="G20" s="630">
        <v>0</v>
      </c>
      <c r="H20" s="630">
        <v>13</v>
      </c>
      <c r="I20" s="630">
        <v>420</v>
      </c>
      <c r="J20" s="630">
        <v>218</v>
      </c>
      <c r="K20" s="631">
        <v>14</v>
      </c>
      <c r="L20" s="11"/>
    </row>
    <row r="21" spans="1:12" s="12" customFormat="1" ht="17.25">
      <c r="A21" s="109" t="s">
        <v>72</v>
      </c>
      <c r="B21" s="632">
        <v>2180</v>
      </c>
      <c r="C21" s="634">
        <v>0</v>
      </c>
      <c r="D21" s="634">
        <v>0</v>
      </c>
      <c r="E21" s="634">
        <v>37</v>
      </c>
      <c r="F21" s="634">
        <v>1274</v>
      </c>
      <c r="G21" s="634">
        <v>754</v>
      </c>
      <c r="H21" s="634">
        <v>101</v>
      </c>
      <c r="I21" s="634">
        <v>14</v>
      </c>
      <c r="J21" s="634">
        <v>0</v>
      </c>
      <c r="K21" s="635">
        <v>0</v>
      </c>
      <c r="L21" s="11"/>
    </row>
    <row r="22" spans="1:12" s="17" customFormat="1" ht="20.25" thickBot="1">
      <c r="A22" s="110" t="s">
        <v>73</v>
      </c>
      <c r="B22" s="636">
        <v>7</v>
      </c>
      <c r="C22" s="638">
        <v>0</v>
      </c>
      <c r="D22" s="638">
        <v>0</v>
      </c>
      <c r="E22" s="638">
        <v>0</v>
      </c>
      <c r="F22" s="638">
        <v>0</v>
      </c>
      <c r="G22" s="638">
        <v>0</v>
      </c>
      <c r="H22" s="638">
        <v>0</v>
      </c>
      <c r="I22" s="638">
        <v>5</v>
      </c>
      <c r="J22" s="638">
        <v>2</v>
      </c>
      <c r="K22" s="639">
        <v>0</v>
      </c>
      <c r="L22" s="8"/>
    </row>
    <row r="23" spans="1:12" s="18" customFormat="1" ht="18" thickTop="1">
      <c r="A23" s="90"/>
      <c r="B23" s="90"/>
      <c r="C23" s="90"/>
      <c r="D23" s="90"/>
      <c r="E23" s="90"/>
      <c r="F23" s="90"/>
      <c r="G23" s="90"/>
      <c r="H23" s="90"/>
      <c r="I23" s="90"/>
      <c r="J23" s="90"/>
      <c r="K23" s="90"/>
      <c r="L23" s="9"/>
    </row>
    <row r="24" spans="1:12" s="10" customFormat="1" ht="17.25">
      <c r="A24" s="90"/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"/>
    </row>
    <row r="25" spans="1:12" s="12" customFormat="1" ht="17.25">
      <c r="A25" s="105" t="s">
        <v>89</v>
      </c>
      <c r="B25" s="105"/>
      <c r="C25" s="105"/>
      <c r="D25" s="105"/>
      <c r="E25" s="105"/>
      <c r="F25" s="105"/>
      <c r="G25" s="105"/>
      <c r="H25" s="105"/>
      <c r="I25" s="105"/>
      <c r="J25" s="105"/>
      <c r="K25" s="105"/>
      <c r="L25" s="11"/>
    </row>
    <row r="26" spans="1:12" s="12" customFormat="1" ht="17.25">
      <c r="A26" s="105" t="s">
        <v>76</v>
      </c>
      <c r="B26" s="105"/>
      <c r="C26" s="105"/>
      <c r="D26" s="105"/>
      <c r="E26" s="105"/>
      <c r="F26" s="105"/>
      <c r="G26" s="105"/>
      <c r="H26" s="105"/>
      <c r="I26" s="105"/>
      <c r="J26" s="105"/>
      <c r="K26" s="105"/>
      <c r="L26" s="11"/>
    </row>
    <row r="27" spans="1:12" s="12" customFormat="1" ht="18" thickBot="1">
      <c r="A27" s="106"/>
      <c r="B27" s="90"/>
      <c r="C27" s="90"/>
      <c r="D27" s="90"/>
      <c r="E27" s="90"/>
      <c r="F27" s="90"/>
      <c r="G27" s="90"/>
      <c r="H27" s="90"/>
      <c r="I27" s="90"/>
      <c r="J27" s="90"/>
      <c r="K27" s="90"/>
      <c r="L27" s="11"/>
    </row>
    <row r="28" spans="1:12" s="12" customFormat="1" ht="18.75" thickTop="1" thickBot="1">
      <c r="A28" s="95" t="s">
        <v>69</v>
      </c>
      <c r="B28" s="96" t="s">
        <v>1</v>
      </c>
      <c r="C28" s="98" t="s">
        <v>11</v>
      </c>
      <c r="D28" s="98" t="s">
        <v>12</v>
      </c>
      <c r="E28" s="98" t="s">
        <v>13</v>
      </c>
      <c r="F28" s="98" t="s">
        <v>14</v>
      </c>
      <c r="G28" s="98" t="s">
        <v>15</v>
      </c>
      <c r="H28" s="98" t="s">
        <v>16</v>
      </c>
      <c r="I28" s="98" t="s">
        <v>17</v>
      </c>
      <c r="J28" s="98" t="s">
        <v>18</v>
      </c>
      <c r="K28" s="1142" t="s">
        <v>166</v>
      </c>
      <c r="L28" s="11"/>
    </row>
    <row r="29" spans="1:12" ht="19.5">
      <c r="A29" s="107" t="s">
        <v>2</v>
      </c>
      <c r="B29" s="624">
        <v>5133</v>
      </c>
      <c r="C29" s="626">
        <v>0</v>
      </c>
      <c r="D29" s="626">
        <v>0</v>
      </c>
      <c r="E29" s="626">
        <v>75</v>
      </c>
      <c r="F29" s="626">
        <v>2753</v>
      </c>
      <c r="G29" s="626">
        <v>1797</v>
      </c>
      <c r="H29" s="626">
        <v>218</v>
      </c>
      <c r="I29" s="626">
        <v>189</v>
      </c>
      <c r="J29" s="626">
        <v>96</v>
      </c>
      <c r="K29" s="627">
        <v>5</v>
      </c>
      <c r="L29" s="8"/>
    </row>
    <row r="30" spans="1:12" s="20" customFormat="1" ht="19.5">
      <c r="A30" s="108" t="s">
        <v>71</v>
      </c>
      <c r="B30" s="628">
        <v>245</v>
      </c>
      <c r="C30" s="630">
        <v>0</v>
      </c>
      <c r="D30" s="630">
        <v>0</v>
      </c>
      <c r="E30" s="630">
        <v>0</v>
      </c>
      <c r="F30" s="630">
        <v>0</v>
      </c>
      <c r="G30" s="630">
        <v>1</v>
      </c>
      <c r="H30" s="630">
        <v>0</v>
      </c>
      <c r="I30" s="630">
        <v>147</v>
      </c>
      <c r="J30" s="630">
        <v>92</v>
      </c>
      <c r="K30" s="631">
        <v>5</v>
      </c>
      <c r="L30" s="19"/>
    </row>
    <row r="31" spans="1:12" s="21" customFormat="1" ht="17.25">
      <c r="A31" s="109" t="s">
        <v>72</v>
      </c>
      <c r="B31" s="632">
        <v>4871</v>
      </c>
      <c r="C31" s="634">
        <v>0</v>
      </c>
      <c r="D31" s="634">
        <v>0</v>
      </c>
      <c r="E31" s="634">
        <v>75</v>
      </c>
      <c r="F31" s="634">
        <v>2753</v>
      </c>
      <c r="G31" s="634">
        <v>1796</v>
      </c>
      <c r="H31" s="634">
        <v>218</v>
      </c>
      <c r="I31" s="634">
        <v>29</v>
      </c>
      <c r="J31" s="634">
        <v>0</v>
      </c>
      <c r="K31" s="635">
        <v>0</v>
      </c>
      <c r="L31" s="16"/>
    </row>
    <row r="32" spans="1:12" s="12" customFormat="1" ht="18" thickBot="1">
      <c r="A32" s="110" t="s">
        <v>73</v>
      </c>
      <c r="B32" s="636">
        <v>17</v>
      </c>
      <c r="C32" s="638">
        <v>0</v>
      </c>
      <c r="D32" s="638">
        <v>0</v>
      </c>
      <c r="E32" s="638">
        <v>0</v>
      </c>
      <c r="F32" s="638">
        <v>0</v>
      </c>
      <c r="G32" s="638">
        <v>0</v>
      </c>
      <c r="H32" s="638">
        <v>0</v>
      </c>
      <c r="I32" s="638">
        <v>13</v>
      </c>
      <c r="J32" s="638">
        <v>4</v>
      </c>
      <c r="K32" s="639">
        <v>0</v>
      </c>
      <c r="L32" s="16"/>
    </row>
    <row r="33" spans="1:12" s="12" customFormat="1" ht="18" thickTop="1">
      <c r="A33" s="90"/>
      <c r="B33" s="90"/>
      <c r="C33" s="90"/>
      <c r="D33" s="90"/>
      <c r="E33" s="90"/>
      <c r="F33" s="90"/>
      <c r="G33" s="90"/>
      <c r="H33" s="90"/>
      <c r="I33" s="90"/>
      <c r="J33" s="90"/>
      <c r="K33" s="90"/>
      <c r="L33" s="16"/>
    </row>
    <row r="34" spans="1:12" s="12" customFormat="1" ht="17.25">
      <c r="A34" s="90"/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16"/>
    </row>
    <row r="35" spans="1:12" s="15" customFormat="1" ht="17.25">
      <c r="A35" s="94" t="s">
        <v>77</v>
      </c>
      <c r="B35" s="90"/>
      <c r="C35" s="90"/>
      <c r="D35" s="90"/>
      <c r="E35" s="90"/>
      <c r="F35" s="90"/>
      <c r="G35" s="90"/>
      <c r="H35" s="90"/>
      <c r="I35" s="90"/>
      <c r="J35" s="90"/>
      <c r="K35" s="90"/>
      <c r="L35" s="16"/>
    </row>
    <row r="36" spans="1:12" s="23" customFormat="1" ht="13.5">
      <c r="A36" s="105" t="s">
        <v>78</v>
      </c>
      <c r="B36" s="105"/>
      <c r="C36" s="105"/>
      <c r="D36" s="105"/>
      <c r="E36" s="105"/>
      <c r="F36" s="105"/>
      <c r="G36" s="105"/>
      <c r="H36" s="105"/>
      <c r="I36" s="105"/>
      <c r="J36" s="105"/>
      <c r="K36" s="105"/>
      <c r="L36" s="22"/>
    </row>
    <row r="37" spans="1:12" ht="20.25" thickBot="1">
      <c r="A37" s="90"/>
      <c r="B37" s="90"/>
      <c r="C37" s="90"/>
      <c r="D37" s="90"/>
      <c r="E37" s="90"/>
      <c r="F37" s="90"/>
      <c r="G37" s="90"/>
      <c r="H37" s="90"/>
      <c r="I37" s="90"/>
      <c r="J37" s="90"/>
      <c r="K37" s="90"/>
    </row>
    <row r="38" spans="1:12" ht="28.5" thickTop="1" thickBot="1">
      <c r="A38" s="95" t="s">
        <v>69</v>
      </c>
      <c r="B38" s="96" t="s">
        <v>1</v>
      </c>
      <c r="C38" s="97" t="s">
        <v>19</v>
      </c>
      <c r="D38" s="98" t="s">
        <v>20</v>
      </c>
      <c r="E38" s="98" t="s">
        <v>21</v>
      </c>
      <c r="F38" s="111" t="s">
        <v>173</v>
      </c>
      <c r="G38" s="111" t="s">
        <v>174</v>
      </c>
      <c r="H38" s="111" t="s">
        <v>175</v>
      </c>
      <c r="I38" s="1142" t="s">
        <v>176</v>
      </c>
      <c r="J38" s="1143"/>
      <c r="K38" s="1143"/>
      <c r="L38" s="1143"/>
    </row>
    <row r="39" spans="1:12" ht="19.5">
      <c r="A39" s="107" t="s">
        <v>2</v>
      </c>
      <c r="B39" s="624">
        <v>7086</v>
      </c>
      <c r="C39" s="625">
        <v>3562</v>
      </c>
      <c r="D39" s="626">
        <v>84</v>
      </c>
      <c r="E39" s="626">
        <v>422</v>
      </c>
      <c r="F39" s="626">
        <v>0</v>
      </c>
      <c r="G39" s="626">
        <v>0</v>
      </c>
      <c r="H39" s="626">
        <v>3018</v>
      </c>
      <c r="I39" s="1144"/>
      <c r="J39" s="1145"/>
      <c r="K39" s="1145"/>
      <c r="L39" s="1145"/>
    </row>
    <row r="40" spans="1:12" ht="19.5">
      <c r="A40" s="108" t="s">
        <v>71</v>
      </c>
      <c r="B40" s="628">
        <v>265</v>
      </c>
      <c r="C40" s="629">
        <v>118</v>
      </c>
      <c r="D40" s="630">
        <v>16</v>
      </c>
      <c r="E40" s="630">
        <v>129</v>
      </c>
      <c r="F40" s="630">
        <v>0</v>
      </c>
      <c r="G40" s="630">
        <v>0</v>
      </c>
      <c r="H40" s="630">
        <v>2</v>
      </c>
      <c r="I40" s="1132" t="s">
        <v>177</v>
      </c>
      <c r="J40" s="1133"/>
      <c r="K40" s="1133"/>
      <c r="L40" s="1133"/>
    </row>
    <row r="41" spans="1:12" ht="19.5">
      <c r="A41" s="109" t="s">
        <v>72</v>
      </c>
      <c r="B41" s="632">
        <v>6795</v>
      </c>
      <c r="C41" s="633">
        <v>3434</v>
      </c>
      <c r="D41" s="634">
        <v>68</v>
      </c>
      <c r="E41" s="634">
        <v>285</v>
      </c>
      <c r="F41" s="634">
        <v>0</v>
      </c>
      <c r="G41" s="634">
        <v>0</v>
      </c>
      <c r="H41" s="634">
        <v>3008</v>
      </c>
      <c r="I41" s="1124" t="s">
        <v>178</v>
      </c>
      <c r="J41" s="1125"/>
      <c r="K41" s="1125"/>
      <c r="L41" s="1125"/>
    </row>
    <row r="42" spans="1:12" ht="20.25" thickBot="1">
      <c r="A42" s="110" t="s">
        <v>73</v>
      </c>
      <c r="B42" s="636">
        <v>26</v>
      </c>
      <c r="C42" s="637">
        <v>10</v>
      </c>
      <c r="D42" s="638">
        <v>0</v>
      </c>
      <c r="E42" s="638">
        <v>8</v>
      </c>
      <c r="F42" s="638">
        <v>0</v>
      </c>
      <c r="G42" s="638">
        <v>0</v>
      </c>
      <c r="H42" s="638">
        <v>8</v>
      </c>
      <c r="I42" s="1126" t="s">
        <v>179</v>
      </c>
      <c r="J42" s="1127"/>
      <c r="K42" s="1127"/>
      <c r="L42" s="1127"/>
    </row>
    <row r="43" spans="1:12" ht="20.25" thickTop="1">
      <c r="A43" s="112" t="s">
        <v>86</v>
      </c>
      <c r="B43" s="113"/>
      <c r="C43" s="113"/>
      <c r="D43" s="113"/>
      <c r="E43" s="113"/>
      <c r="F43" s="113"/>
      <c r="G43" s="113"/>
      <c r="H43" s="113"/>
      <c r="I43" s="113"/>
      <c r="J43" s="113"/>
      <c r="K43" s="113"/>
    </row>
    <row r="44" spans="1:12" ht="19.5"/>
    <row r="45" spans="1:12" ht="19.5"/>
    <row r="46" spans="1:12" ht="19.5"/>
    <row r="47" spans="1:12" ht="19.5"/>
    <row r="48" spans="1:12" ht="19.5"/>
    <row r="49" ht="19.5"/>
    <row r="50" ht="19.5"/>
  </sheetData>
  <mergeCells count="3">
    <mergeCell ref="A2:K2"/>
    <mergeCell ref="I6:K6"/>
    <mergeCell ref="D3:F3"/>
  </mergeCells>
  <phoneticPr fontId="3" type="noConversion"/>
  <printOptions horizontalCentered="1"/>
  <pageMargins left="0.31496062992125984" right="0.31496062992125984" top="0.94488188976377963" bottom="0.51181102362204722" header="0.70866141732283472" footer="0.31496062992125984"/>
  <pageSetup paperSize="9" scale="67" fitToWidth="0" fitToHeight="0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L50"/>
  <sheetViews>
    <sheetView showGridLines="0" zoomScale="85" zoomScaleNormal="85" zoomScaleSheetLayoutView="70" workbookViewId="0">
      <selection activeCell="B8" sqref="B8:B11"/>
    </sheetView>
  </sheetViews>
  <sheetFormatPr defaultColWidth="16.42578125" defaultRowHeight="39.950000000000003" customHeight="1"/>
  <cols>
    <col min="1" max="1" width="15.5703125" style="7" customWidth="1"/>
    <col min="2" max="2" width="14.42578125" style="7" customWidth="1"/>
    <col min="3" max="6" width="10.42578125" style="7" customWidth="1"/>
    <col min="7" max="7" width="12.140625" style="7" customWidth="1"/>
    <col min="8" max="10" width="10.42578125" style="7" customWidth="1"/>
    <col min="11" max="11" width="17.5703125" style="7" customWidth="1"/>
    <col min="12" max="12" width="1.5703125" style="7" customWidth="1"/>
    <col min="13" max="16384" width="16.42578125" style="7"/>
  </cols>
  <sheetData>
    <row r="1" spans="1:12" s="2" customFormat="1" ht="25.5">
      <c r="A1" s="114"/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"/>
    </row>
    <row r="2" spans="1:12" s="2" customFormat="1" ht="26.25">
      <c r="A2" s="1323" t="s">
        <v>67</v>
      </c>
      <c r="B2" s="1323"/>
      <c r="C2" s="1323"/>
      <c r="D2" s="1323"/>
      <c r="E2" s="1323"/>
      <c r="F2" s="1323"/>
      <c r="G2" s="1323"/>
      <c r="H2" s="1323"/>
      <c r="I2" s="1323"/>
      <c r="J2" s="1323"/>
      <c r="K2" s="1323"/>
      <c r="L2" s="1"/>
    </row>
    <row r="3" spans="1:12" s="2" customFormat="1" ht="25.5">
      <c r="A3" s="115"/>
      <c r="B3" s="116"/>
      <c r="C3" s="116"/>
      <c r="D3" s="1325" t="s">
        <v>93</v>
      </c>
      <c r="E3" s="1325"/>
      <c r="F3" s="1325"/>
      <c r="G3" s="116"/>
      <c r="H3" s="116"/>
      <c r="I3" s="116"/>
      <c r="J3" s="116"/>
      <c r="K3" s="116"/>
      <c r="L3" s="1"/>
    </row>
    <row r="4" spans="1:12" s="2" customFormat="1" ht="25.5">
      <c r="A4" s="115"/>
      <c r="B4" s="116"/>
      <c r="C4" s="116"/>
      <c r="D4" s="117"/>
      <c r="E4" s="117"/>
      <c r="F4" s="117"/>
      <c r="G4" s="116"/>
      <c r="H4" s="116"/>
      <c r="I4" s="116"/>
      <c r="J4" s="116"/>
      <c r="K4" s="116"/>
      <c r="L4" s="1"/>
    </row>
    <row r="5" spans="1:12" s="2" customFormat="1" ht="25.5">
      <c r="A5" s="118" t="s">
        <v>87</v>
      </c>
      <c r="B5" s="114"/>
      <c r="C5" s="114"/>
      <c r="D5" s="114"/>
      <c r="E5" s="114"/>
      <c r="F5" s="114"/>
      <c r="G5" s="114"/>
      <c r="H5" s="114"/>
      <c r="I5" s="114"/>
      <c r="J5" s="114"/>
      <c r="K5" s="114"/>
      <c r="L5" s="1"/>
    </row>
    <row r="6" spans="1:12" s="4" customFormat="1" ht="21" thickBot="1">
      <c r="A6" s="114"/>
      <c r="B6" s="114"/>
      <c r="C6" s="114"/>
      <c r="D6" s="114"/>
      <c r="E6" s="114"/>
      <c r="F6" s="114"/>
      <c r="G6" s="114"/>
      <c r="H6" s="114"/>
      <c r="I6" s="1324" t="s">
        <v>189</v>
      </c>
      <c r="J6" s="1324"/>
      <c r="K6" s="1324"/>
      <c r="L6" s="3"/>
    </row>
    <row r="7" spans="1:12" s="5" customFormat="1" ht="21.75" thickTop="1" thickBot="1">
      <c r="A7" s="119" t="s">
        <v>69</v>
      </c>
      <c r="B7" s="120" t="s">
        <v>1</v>
      </c>
      <c r="C7" s="122" t="s">
        <v>11</v>
      </c>
      <c r="D7" s="122" t="s">
        <v>12</v>
      </c>
      <c r="E7" s="122" t="s">
        <v>13</v>
      </c>
      <c r="F7" s="122" t="s">
        <v>14</v>
      </c>
      <c r="G7" s="122" t="s">
        <v>15</v>
      </c>
      <c r="H7" s="122" t="s">
        <v>16</v>
      </c>
      <c r="I7" s="122" t="s">
        <v>17</v>
      </c>
      <c r="J7" s="122" t="s">
        <v>18</v>
      </c>
      <c r="K7" s="123" t="s">
        <v>166</v>
      </c>
      <c r="L7" s="6"/>
    </row>
    <row r="8" spans="1:12" ht="19.5">
      <c r="A8" s="124" t="s">
        <v>2</v>
      </c>
      <c r="B8" s="640">
        <v>10371</v>
      </c>
      <c r="C8" s="641">
        <v>0</v>
      </c>
      <c r="D8" s="641">
        <v>0</v>
      </c>
      <c r="E8" s="641">
        <v>105</v>
      </c>
      <c r="F8" s="641">
        <v>4679</v>
      </c>
      <c r="G8" s="641">
        <v>3237</v>
      </c>
      <c r="H8" s="641">
        <v>763</v>
      </c>
      <c r="I8" s="641">
        <v>1134</v>
      </c>
      <c r="J8" s="641">
        <v>430</v>
      </c>
      <c r="K8" s="642">
        <v>23</v>
      </c>
      <c r="L8" s="8"/>
    </row>
    <row r="9" spans="1:12" s="10" customFormat="1" ht="17.25">
      <c r="A9" s="125" t="s">
        <v>71</v>
      </c>
      <c r="B9" s="643">
        <v>1967</v>
      </c>
      <c r="C9" s="644">
        <v>0</v>
      </c>
      <c r="D9" s="644">
        <v>0</v>
      </c>
      <c r="E9" s="644">
        <v>0</v>
      </c>
      <c r="F9" s="644">
        <v>0</v>
      </c>
      <c r="G9" s="644">
        <v>0</v>
      </c>
      <c r="H9" s="644">
        <v>473</v>
      </c>
      <c r="I9" s="644">
        <v>1054</v>
      </c>
      <c r="J9" s="644">
        <v>417</v>
      </c>
      <c r="K9" s="645">
        <v>23</v>
      </c>
      <c r="L9" s="9"/>
    </row>
    <row r="10" spans="1:12" s="12" customFormat="1" ht="17.25">
      <c r="A10" s="126" t="s">
        <v>72</v>
      </c>
      <c r="B10" s="646">
        <v>8371</v>
      </c>
      <c r="C10" s="647">
        <v>0</v>
      </c>
      <c r="D10" s="647">
        <v>0</v>
      </c>
      <c r="E10" s="647">
        <v>105</v>
      </c>
      <c r="F10" s="647">
        <v>4679</v>
      </c>
      <c r="G10" s="647">
        <v>3237</v>
      </c>
      <c r="H10" s="647">
        <v>290</v>
      </c>
      <c r="I10" s="647">
        <v>57</v>
      </c>
      <c r="J10" s="647">
        <v>3</v>
      </c>
      <c r="K10" s="648">
        <v>0</v>
      </c>
      <c r="L10" s="11"/>
    </row>
    <row r="11" spans="1:12" s="12" customFormat="1" ht="18" thickBot="1">
      <c r="A11" s="127" t="s">
        <v>73</v>
      </c>
      <c r="B11" s="649">
        <v>33</v>
      </c>
      <c r="C11" s="650">
        <v>0</v>
      </c>
      <c r="D11" s="650">
        <v>0</v>
      </c>
      <c r="E11" s="650">
        <v>0</v>
      </c>
      <c r="F11" s="650">
        <v>0</v>
      </c>
      <c r="G11" s="650">
        <v>0</v>
      </c>
      <c r="H11" s="650">
        <v>0</v>
      </c>
      <c r="I11" s="650">
        <v>23</v>
      </c>
      <c r="J11" s="650">
        <v>10</v>
      </c>
      <c r="K11" s="651">
        <v>0</v>
      </c>
      <c r="L11" s="11"/>
    </row>
    <row r="12" spans="1:12" s="12" customFormat="1" ht="18" thickTop="1">
      <c r="A12" s="128" t="s">
        <v>74</v>
      </c>
      <c r="B12" s="114"/>
      <c r="C12" s="114"/>
      <c r="D12" s="114"/>
      <c r="E12" s="114"/>
      <c r="F12" s="114"/>
      <c r="G12" s="114"/>
      <c r="H12" s="114"/>
      <c r="I12" s="114"/>
      <c r="J12" s="114"/>
      <c r="K12" s="114"/>
      <c r="L12" s="11"/>
    </row>
    <row r="13" spans="1:12" s="12" customFormat="1" ht="17.25">
      <c r="A13" s="114"/>
      <c r="B13" s="114"/>
      <c r="C13" s="114"/>
      <c r="D13" s="114"/>
      <c r="E13" s="114"/>
      <c r="F13" s="114"/>
      <c r="G13" s="114"/>
      <c r="H13" s="114"/>
      <c r="I13" s="114"/>
      <c r="J13" s="114"/>
      <c r="K13" s="114"/>
      <c r="L13" s="11"/>
    </row>
    <row r="14" spans="1:12" s="13" customFormat="1" ht="16.5">
      <c r="A14" s="114"/>
      <c r="B14" s="114"/>
      <c r="C14" s="114"/>
      <c r="D14" s="114"/>
      <c r="E14" s="114"/>
      <c r="F14" s="114"/>
      <c r="G14" s="114"/>
      <c r="H14" s="114"/>
      <c r="I14" s="114"/>
      <c r="J14" s="114"/>
      <c r="K14" s="114"/>
      <c r="L14" s="14"/>
    </row>
    <row r="15" spans="1:12" s="15" customFormat="1" ht="13.5">
      <c r="A15" s="129" t="s">
        <v>88</v>
      </c>
      <c r="B15" s="129"/>
      <c r="C15" s="129"/>
      <c r="D15" s="129"/>
      <c r="E15" s="129"/>
      <c r="F15" s="129"/>
      <c r="G15" s="129"/>
      <c r="H15" s="129"/>
      <c r="I15" s="129"/>
      <c r="J15" s="129"/>
      <c r="K15" s="129"/>
      <c r="L15" s="16"/>
    </row>
    <row r="16" spans="1:12" s="10" customFormat="1" ht="17.25">
      <c r="A16" s="129" t="s">
        <v>75</v>
      </c>
      <c r="B16" s="129"/>
      <c r="C16" s="129"/>
      <c r="D16" s="129"/>
      <c r="E16" s="129"/>
      <c r="F16" s="129"/>
      <c r="G16" s="129"/>
      <c r="H16" s="129"/>
      <c r="I16" s="129"/>
      <c r="J16" s="129"/>
      <c r="K16" s="129"/>
      <c r="L16" s="9"/>
    </row>
    <row r="17" spans="1:12" s="10" customFormat="1" ht="18" thickBot="1">
      <c r="A17" s="130"/>
      <c r="B17" s="114"/>
      <c r="C17" s="114"/>
      <c r="D17" s="114"/>
      <c r="E17" s="114"/>
      <c r="F17" s="114"/>
      <c r="G17" s="114"/>
      <c r="H17" s="114"/>
      <c r="I17" s="114"/>
      <c r="J17" s="114"/>
      <c r="K17" s="114"/>
      <c r="L17" s="9"/>
    </row>
    <row r="18" spans="1:12" s="12" customFormat="1" ht="18.75" thickTop="1" thickBot="1">
      <c r="A18" s="119" t="s">
        <v>69</v>
      </c>
      <c r="B18" s="120" t="s">
        <v>1</v>
      </c>
      <c r="C18" s="122" t="s">
        <v>11</v>
      </c>
      <c r="D18" s="122" t="s">
        <v>12</v>
      </c>
      <c r="E18" s="122" t="s">
        <v>13</v>
      </c>
      <c r="F18" s="122" t="s">
        <v>14</v>
      </c>
      <c r="G18" s="122" t="s">
        <v>15</v>
      </c>
      <c r="H18" s="122" t="s">
        <v>16</v>
      </c>
      <c r="I18" s="122" t="s">
        <v>17</v>
      </c>
      <c r="J18" s="122" t="s">
        <v>18</v>
      </c>
      <c r="K18" s="1146" t="s">
        <v>166</v>
      </c>
      <c r="L18" s="11"/>
    </row>
    <row r="19" spans="1:12" s="12" customFormat="1" ht="17.25">
      <c r="A19" s="131" t="s">
        <v>2</v>
      </c>
      <c r="B19" s="652">
        <v>6410</v>
      </c>
      <c r="C19" s="654">
        <v>0</v>
      </c>
      <c r="D19" s="654">
        <v>0</v>
      </c>
      <c r="E19" s="654">
        <v>71</v>
      </c>
      <c r="F19" s="654">
        <v>2705</v>
      </c>
      <c r="G19" s="654">
        <v>1707</v>
      </c>
      <c r="H19" s="654">
        <v>617</v>
      </c>
      <c r="I19" s="654">
        <v>958</v>
      </c>
      <c r="J19" s="654">
        <v>334</v>
      </c>
      <c r="K19" s="655">
        <v>18</v>
      </c>
      <c r="L19" s="11"/>
    </row>
    <row r="20" spans="1:12" s="12" customFormat="1" ht="17.25">
      <c r="A20" s="132" t="s">
        <v>71</v>
      </c>
      <c r="B20" s="656">
        <v>1735</v>
      </c>
      <c r="C20" s="658">
        <v>0</v>
      </c>
      <c r="D20" s="658">
        <v>0</v>
      </c>
      <c r="E20" s="658">
        <v>0</v>
      </c>
      <c r="F20" s="658">
        <v>0</v>
      </c>
      <c r="G20" s="658">
        <v>0</v>
      </c>
      <c r="H20" s="658">
        <v>468</v>
      </c>
      <c r="I20" s="658">
        <v>919</v>
      </c>
      <c r="J20" s="658">
        <v>330</v>
      </c>
      <c r="K20" s="659">
        <v>18</v>
      </c>
      <c r="L20" s="11"/>
    </row>
    <row r="21" spans="1:12" s="12" customFormat="1" ht="17.25">
      <c r="A21" s="133" t="s">
        <v>72</v>
      </c>
      <c r="B21" s="660">
        <v>4662</v>
      </c>
      <c r="C21" s="662">
        <v>0</v>
      </c>
      <c r="D21" s="662">
        <v>0</v>
      </c>
      <c r="E21" s="662">
        <v>71</v>
      </c>
      <c r="F21" s="662">
        <v>2705</v>
      </c>
      <c r="G21" s="662">
        <v>1707</v>
      </c>
      <c r="H21" s="662">
        <v>149</v>
      </c>
      <c r="I21" s="662">
        <v>29</v>
      </c>
      <c r="J21" s="662">
        <v>1</v>
      </c>
      <c r="K21" s="663">
        <v>0</v>
      </c>
      <c r="L21" s="11"/>
    </row>
    <row r="22" spans="1:12" s="17" customFormat="1" ht="20.25" thickBot="1">
      <c r="A22" s="134" t="s">
        <v>73</v>
      </c>
      <c r="B22" s="664">
        <v>13</v>
      </c>
      <c r="C22" s="666">
        <v>0</v>
      </c>
      <c r="D22" s="666">
        <v>0</v>
      </c>
      <c r="E22" s="666">
        <v>0</v>
      </c>
      <c r="F22" s="666">
        <v>0</v>
      </c>
      <c r="G22" s="666">
        <v>0</v>
      </c>
      <c r="H22" s="666">
        <v>0</v>
      </c>
      <c r="I22" s="666">
        <v>10</v>
      </c>
      <c r="J22" s="666">
        <v>3</v>
      </c>
      <c r="K22" s="667">
        <v>0</v>
      </c>
      <c r="L22" s="8"/>
    </row>
    <row r="23" spans="1:12" s="18" customFormat="1" ht="18" thickTop="1">
      <c r="A23" s="114"/>
      <c r="B23" s="114"/>
      <c r="C23" s="114"/>
      <c r="D23" s="114"/>
      <c r="E23" s="114"/>
      <c r="F23" s="114"/>
      <c r="G23" s="114"/>
      <c r="H23" s="114"/>
      <c r="I23" s="114"/>
      <c r="J23" s="114"/>
      <c r="K23" s="114"/>
      <c r="L23" s="9"/>
    </row>
    <row r="24" spans="1:12" s="10" customFormat="1" ht="17.25">
      <c r="A24" s="114"/>
      <c r="B24" s="114"/>
      <c r="C24" s="114"/>
      <c r="D24" s="114"/>
      <c r="E24" s="114"/>
      <c r="F24" s="114"/>
      <c r="G24" s="114"/>
      <c r="H24" s="114"/>
      <c r="I24" s="114"/>
      <c r="J24" s="114"/>
      <c r="K24" s="114"/>
      <c r="L24" s="9"/>
    </row>
    <row r="25" spans="1:12" s="12" customFormat="1" ht="17.25">
      <c r="A25" s="129" t="s">
        <v>89</v>
      </c>
      <c r="B25" s="129"/>
      <c r="C25" s="129"/>
      <c r="D25" s="129"/>
      <c r="E25" s="129"/>
      <c r="F25" s="129"/>
      <c r="G25" s="129"/>
      <c r="H25" s="129"/>
      <c r="I25" s="129"/>
      <c r="J25" s="129"/>
      <c r="K25" s="129"/>
      <c r="L25" s="11"/>
    </row>
    <row r="26" spans="1:12" s="12" customFormat="1" ht="17.25">
      <c r="A26" s="129" t="s">
        <v>76</v>
      </c>
      <c r="B26" s="129"/>
      <c r="C26" s="129"/>
      <c r="D26" s="129"/>
      <c r="E26" s="129"/>
      <c r="F26" s="129"/>
      <c r="G26" s="129"/>
      <c r="H26" s="129"/>
      <c r="I26" s="129"/>
      <c r="J26" s="129"/>
      <c r="K26" s="129"/>
      <c r="L26" s="11"/>
    </row>
    <row r="27" spans="1:12" s="12" customFormat="1" ht="18" thickBot="1">
      <c r="A27" s="130"/>
      <c r="B27" s="114"/>
      <c r="C27" s="114"/>
      <c r="D27" s="114"/>
      <c r="E27" s="114"/>
      <c r="F27" s="114"/>
      <c r="G27" s="114"/>
      <c r="H27" s="114"/>
      <c r="I27" s="114"/>
      <c r="J27" s="114"/>
      <c r="K27" s="114"/>
      <c r="L27" s="11"/>
    </row>
    <row r="28" spans="1:12" s="12" customFormat="1" ht="18.75" thickTop="1" thickBot="1">
      <c r="A28" s="119" t="s">
        <v>69</v>
      </c>
      <c r="B28" s="120" t="s">
        <v>1</v>
      </c>
      <c r="C28" s="122" t="s">
        <v>11</v>
      </c>
      <c r="D28" s="122" t="s">
        <v>12</v>
      </c>
      <c r="E28" s="122" t="s">
        <v>13</v>
      </c>
      <c r="F28" s="122" t="s">
        <v>14</v>
      </c>
      <c r="G28" s="122" t="s">
        <v>15</v>
      </c>
      <c r="H28" s="122" t="s">
        <v>16</v>
      </c>
      <c r="I28" s="122" t="s">
        <v>17</v>
      </c>
      <c r="J28" s="122" t="s">
        <v>18</v>
      </c>
      <c r="K28" s="1146" t="s">
        <v>166</v>
      </c>
      <c r="L28" s="11"/>
    </row>
    <row r="29" spans="1:12" ht="19.5">
      <c r="A29" s="131" t="s">
        <v>2</v>
      </c>
      <c r="B29" s="652">
        <v>3961</v>
      </c>
      <c r="C29" s="654">
        <v>0</v>
      </c>
      <c r="D29" s="654">
        <v>0</v>
      </c>
      <c r="E29" s="654">
        <v>34</v>
      </c>
      <c r="F29" s="654">
        <v>1974</v>
      </c>
      <c r="G29" s="654">
        <v>1530</v>
      </c>
      <c r="H29" s="654">
        <v>146</v>
      </c>
      <c r="I29" s="654">
        <v>176</v>
      </c>
      <c r="J29" s="654">
        <v>96</v>
      </c>
      <c r="K29" s="655">
        <v>5</v>
      </c>
      <c r="L29" s="8"/>
    </row>
    <row r="30" spans="1:12" s="20" customFormat="1" ht="19.5">
      <c r="A30" s="132" t="s">
        <v>71</v>
      </c>
      <c r="B30" s="656">
        <v>232</v>
      </c>
      <c r="C30" s="658">
        <v>0</v>
      </c>
      <c r="D30" s="658">
        <v>0</v>
      </c>
      <c r="E30" s="658">
        <v>0</v>
      </c>
      <c r="F30" s="658">
        <v>0</v>
      </c>
      <c r="G30" s="658">
        <v>0</v>
      </c>
      <c r="H30" s="658">
        <v>5</v>
      </c>
      <c r="I30" s="658">
        <v>135</v>
      </c>
      <c r="J30" s="658">
        <v>87</v>
      </c>
      <c r="K30" s="659">
        <v>5</v>
      </c>
      <c r="L30" s="19"/>
    </row>
    <row r="31" spans="1:12" s="21" customFormat="1" ht="17.25">
      <c r="A31" s="133" t="s">
        <v>72</v>
      </c>
      <c r="B31" s="660">
        <v>3709</v>
      </c>
      <c r="C31" s="662">
        <v>0</v>
      </c>
      <c r="D31" s="662">
        <v>0</v>
      </c>
      <c r="E31" s="662">
        <v>34</v>
      </c>
      <c r="F31" s="662">
        <v>1974</v>
      </c>
      <c r="G31" s="662">
        <v>1530</v>
      </c>
      <c r="H31" s="662">
        <v>141</v>
      </c>
      <c r="I31" s="662">
        <v>28</v>
      </c>
      <c r="J31" s="662">
        <v>2</v>
      </c>
      <c r="K31" s="663">
        <v>0</v>
      </c>
      <c r="L31" s="16"/>
    </row>
    <row r="32" spans="1:12" s="12" customFormat="1" ht="18" thickBot="1">
      <c r="A32" s="134" t="s">
        <v>73</v>
      </c>
      <c r="B32" s="664">
        <v>20</v>
      </c>
      <c r="C32" s="666">
        <v>0</v>
      </c>
      <c r="D32" s="666">
        <v>0</v>
      </c>
      <c r="E32" s="666">
        <v>0</v>
      </c>
      <c r="F32" s="666">
        <v>0</v>
      </c>
      <c r="G32" s="666">
        <v>0</v>
      </c>
      <c r="H32" s="666">
        <v>0</v>
      </c>
      <c r="I32" s="666">
        <v>13</v>
      </c>
      <c r="J32" s="666">
        <v>7</v>
      </c>
      <c r="K32" s="667">
        <v>0</v>
      </c>
      <c r="L32" s="16"/>
    </row>
    <row r="33" spans="1:12" s="12" customFormat="1" ht="18" thickTop="1">
      <c r="A33" s="114"/>
      <c r="B33" s="114"/>
      <c r="C33" s="114"/>
      <c r="D33" s="114"/>
      <c r="E33" s="114"/>
      <c r="F33" s="114"/>
      <c r="G33" s="114"/>
      <c r="H33" s="114"/>
      <c r="I33" s="114"/>
      <c r="J33" s="114"/>
      <c r="K33" s="114"/>
      <c r="L33" s="16"/>
    </row>
    <row r="34" spans="1:12" s="12" customFormat="1" ht="17.25">
      <c r="A34" s="114"/>
      <c r="B34" s="114"/>
      <c r="C34" s="114"/>
      <c r="D34" s="114"/>
      <c r="E34" s="114"/>
      <c r="F34" s="114"/>
      <c r="G34" s="114"/>
      <c r="H34" s="114"/>
      <c r="I34" s="114"/>
      <c r="J34" s="114"/>
      <c r="K34" s="114"/>
      <c r="L34" s="16"/>
    </row>
    <row r="35" spans="1:12" s="15" customFormat="1" ht="17.25">
      <c r="A35" s="118" t="s">
        <v>77</v>
      </c>
      <c r="B35" s="114"/>
      <c r="C35" s="114"/>
      <c r="D35" s="114"/>
      <c r="E35" s="114"/>
      <c r="F35" s="114"/>
      <c r="G35" s="114"/>
      <c r="H35" s="114"/>
      <c r="I35" s="114"/>
      <c r="J35" s="114"/>
      <c r="K35" s="114"/>
      <c r="L35" s="16"/>
    </row>
    <row r="36" spans="1:12" s="23" customFormat="1" ht="13.5">
      <c r="A36" s="129" t="s">
        <v>78</v>
      </c>
      <c r="B36" s="129"/>
      <c r="C36" s="129"/>
      <c r="D36" s="129"/>
      <c r="E36" s="129"/>
      <c r="F36" s="129"/>
      <c r="G36" s="129"/>
      <c r="H36" s="129"/>
      <c r="I36" s="129"/>
      <c r="J36" s="129"/>
      <c r="K36" s="129"/>
      <c r="L36" s="22"/>
    </row>
    <row r="37" spans="1:12" ht="20.25" thickBot="1">
      <c r="A37" s="114"/>
      <c r="B37" s="114"/>
      <c r="C37" s="114"/>
      <c r="D37" s="114"/>
      <c r="E37" s="114"/>
      <c r="F37" s="114"/>
      <c r="G37" s="114"/>
      <c r="H37" s="114"/>
      <c r="I37" s="114"/>
      <c r="J37" s="114"/>
      <c r="K37" s="114"/>
    </row>
    <row r="38" spans="1:12" ht="28.5" thickTop="1" thickBot="1">
      <c r="A38" s="119" t="s">
        <v>69</v>
      </c>
      <c r="B38" s="120" t="s">
        <v>1</v>
      </c>
      <c r="C38" s="121" t="s">
        <v>19</v>
      </c>
      <c r="D38" s="122" t="s">
        <v>20</v>
      </c>
      <c r="E38" s="122" t="s">
        <v>21</v>
      </c>
      <c r="F38" s="135" t="s">
        <v>173</v>
      </c>
      <c r="G38" s="135" t="s">
        <v>174</v>
      </c>
      <c r="H38" s="135" t="s">
        <v>175</v>
      </c>
      <c r="I38" s="1146" t="s">
        <v>176</v>
      </c>
      <c r="J38" s="1147"/>
      <c r="K38" s="1147"/>
      <c r="L38" s="1147"/>
    </row>
    <row r="39" spans="1:12" ht="19.5">
      <c r="A39" s="131" t="s">
        <v>2</v>
      </c>
      <c r="B39" s="652">
        <v>4890</v>
      </c>
      <c r="C39" s="653">
        <v>2496</v>
      </c>
      <c r="D39" s="654">
        <v>104</v>
      </c>
      <c r="E39" s="654">
        <v>457</v>
      </c>
      <c r="F39" s="654">
        <v>0</v>
      </c>
      <c r="G39" s="654">
        <v>2</v>
      </c>
      <c r="H39" s="654">
        <v>1831</v>
      </c>
      <c r="I39" s="1148"/>
      <c r="J39" s="1149"/>
      <c r="K39" s="1149"/>
      <c r="L39" s="1149"/>
    </row>
    <row r="40" spans="1:12" ht="19.5">
      <c r="A40" s="132" t="s">
        <v>71</v>
      </c>
      <c r="B40" s="656">
        <v>263</v>
      </c>
      <c r="C40" s="657">
        <v>112</v>
      </c>
      <c r="D40" s="658">
        <v>16</v>
      </c>
      <c r="E40" s="658">
        <v>134</v>
      </c>
      <c r="F40" s="658">
        <v>0</v>
      </c>
      <c r="G40" s="658">
        <v>0</v>
      </c>
      <c r="H40" s="658">
        <v>1</v>
      </c>
      <c r="I40" s="1132" t="s">
        <v>177</v>
      </c>
      <c r="J40" s="1133"/>
      <c r="K40" s="1133"/>
      <c r="L40" s="1133"/>
    </row>
    <row r="41" spans="1:12" ht="19.5">
      <c r="A41" s="133" t="s">
        <v>72</v>
      </c>
      <c r="B41" s="660">
        <v>4602</v>
      </c>
      <c r="C41" s="661">
        <v>2375</v>
      </c>
      <c r="D41" s="662">
        <v>86</v>
      </c>
      <c r="E41" s="662">
        <v>311</v>
      </c>
      <c r="F41" s="662">
        <v>0</v>
      </c>
      <c r="G41" s="662">
        <v>2</v>
      </c>
      <c r="H41" s="662">
        <v>1828</v>
      </c>
      <c r="I41" s="1124" t="s">
        <v>178</v>
      </c>
      <c r="J41" s="1125"/>
      <c r="K41" s="1125"/>
      <c r="L41" s="1125"/>
    </row>
    <row r="42" spans="1:12" ht="20.25" thickBot="1">
      <c r="A42" s="134" t="s">
        <v>73</v>
      </c>
      <c r="B42" s="664">
        <v>25</v>
      </c>
      <c r="C42" s="665">
        <v>9</v>
      </c>
      <c r="D42" s="666">
        <v>2</v>
      </c>
      <c r="E42" s="666">
        <v>12</v>
      </c>
      <c r="F42" s="666">
        <v>0</v>
      </c>
      <c r="G42" s="666">
        <v>0</v>
      </c>
      <c r="H42" s="666">
        <v>2</v>
      </c>
      <c r="I42" s="1126" t="s">
        <v>179</v>
      </c>
      <c r="J42" s="1127"/>
      <c r="K42" s="1127"/>
      <c r="L42" s="1127"/>
    </row>
    <row r="43" spans="1:12" ht="20.25" thickTop="1">
      <c r="A43" s="136" t="s">
        <v>86</v>
      </c>
      <c r="B43" s="137"/>
      <c r="C43" s="137"/>
      <c r="D43" s="137"/>
      <c r="E43" s="137"/>
      <c r="F43" s="137"/>
      <c r="G43" s="137"/>
      <c r="H43" s="137"/>
      <c r="I43" s="137"/>
      <c r="J43" s="137"/>
      <c r="K43" s="137"/>
    </row>
    <row r="44" spans="1:12" ht="19.5"/>
    <row r="45" spans="1:12" ht="19.5"/>
    <row r="46" spans="1:12" ht="19.5"/>
    <row r="47" spans="1:12" ht="19.5"/>
    <row r="48" spans="1:12" ht="19.5"/>
    <row r="49" ht="19.5"/>
    <row r="50" ht="19.5"/>
  </sheetData>
  <mergeCells count="3">
    <mergeCell ref="A2:K2"/>
    <mergeCell ref="I6:K6"/>
    <mergeCell ref="D3:F3"/>
  </mergeCells>
  <phoneticPr fontId="3" type="noConversion"/>
  <printOptions horizontalCentered="1"/>
  <pageMargins left="0.31496062992125984" right="0.31496062992125984" top="0.94488188976377963" bottom="0.51181102362204722" header="0.70866141732283472" footer="0.31496062992125984"/>
  <pageSetup paperSize="9" scale="67" fitToWidth="0" fitToHeight="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L50"/>
  <sheetViews>
    <sheetView showGridLines="0" zoomScale="85" zoomScaleNormal="85" zoomScaleSheetLayoutView="70" workbookViewId="0">
      <selection activeCell="B8" sqref="B8:B11"/>
    </sheetView>
  </sheetViews>
  <sheetFormatPr defaultColWidth="16.42578125" defaultRowHeight="39.950000000000003" customHeight="1"/>
  <cols>
    <col min="1" max="1" width="15.5703125" style="7" customWidth="1"/>
    <col min="2" max="2" width="14.42578125" style="7" customWidth="1"/>
    <col min="3" max="6" width="10.42578125" style="7" customWidth="1"/>
    <col min="7" max="7" width="12.140625" style="7" customWidth="1"/>
    <col min="8" max="10" width="10.42578125" style="7" customWidth="1"/>
    <col min="11" max="11" width="16.140625" style="7" customWidth="1"/>
    <col min="12" max="12" width="1.5703125" style="7" customWidth="1"/>
    <col min="13" max="16384" width="16.42578125" style="7"/>
  </cols>
  <sheetData>
    <row r="1" spans="1:12" s="2" customFormat="1" ht="25.5">
      <c r="A1" s="138"/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"/>
    </row>
    <row r="2" spans="1:12" s="2" customFormat="1" ht="26.25">
      <c r="A2" s="1326" t="s">
        <v>67</v>
      </c>
      <c r="B2" s="1326"/>
      <c r="C2" s="1326"/>
      <c r="D2" s="1326"/>
      <c r="E2" s="1326"/>
      <c r="F2" s="1326"/>
      <c r="G2" s="1326"/>
      <c r="H2" s="1326"/>
      <c r="I2" s="1326"/>
      <c r="J2" s="1326"/>
      <c r="K2" s="1326"/>
      <c r="L2" s="1"/>
    </row>
    <row r="3" spans="1:12" s="2" customFormat="1" ht="25.5">
      <c r="A3" s="139"/>
      <c r="B3" s="140"/>
      <c r="C3" s="140"/>
      <c r="D3" s="1328" t="s">
        <v>94</v>
      </c>
      <c r="E3" s="1328"/>
      <c r="F3" s="1328"/>
      <c r="G3" s="140"/>
      <c r="H3" s="140"/>
      <c r="I3" s="140"/>
      <c r="J3" s="140"/>
      <c r="K3" s="140"/>
      <c r="L3" s="1"/>
    </row>
    <row r="4" spans="1:12" s="2" customFormat="1" ht="25.5">
      <c r="A4" s="139"/>
      <c r="B4" s="140"/>
      <c r="C4" s="140"/>
      <c r="D4" s="141"/>
      <c r="E4" s="141"/>
      <c r="F4" s="141"/>
      <c r="G4" s="140"/>
      <c r="H4" s="140"/>
      <c r="I4" s="140"/>
      <c r="J4" s="140"/>
      <c r="K4" s="140"/>
      <c r="L4" s="1"/>
    </row>
    <row r="5" spans="1:12" s="2" customFormat="1" ht="25.5">
      <c r="A5" s="142" t="s">
        <v>87</v>
      </c>
      <c r="B5" s="138"/>
      <c r="C5" s="138"/>
      <c r="D5" s="138"/>
      <c r="E5" s="138"/>
      <c r="F5" s="138"/>
      <c r="G5" s="138"/>
      <c r="H5" s="138"/>
      <c r="I5" s="138"/>
      <c r="J5" s="138"/>
      <c r="K5" s="138"/>
      <c r="L5" s="1"/>
    </row>
    <row r="6" spans="1:12" s="4" customFormat="1" ht="21" thickBot="1">
      <c r="A6" s="138"/>
      <c r="B6" s="138"/>
      <c r="C6" s="138"/>
      <c r="D6" s="138"/>
      <c r="E6" s="138"/>
      <c r="F6" s="138"/>
      <c r="G6" s="138"/>
      <c r="H6" s="138"/>
      <c r="I6" s="1327" t="s">
        <v>189</v>
      </c>
      <c r="J6" s="1327"/>
      <c r="K6" s="1327"/>
      <c r="L6" s="3"/>
    </row>
    <row r="7" spans="1:12" s="5" customFormat="1" ht="21.75" thickTop="1" thickBot="1">
      <c r="A7" s="143" t="s">
        <v>69</v>
      </c>
      <c r="B7" s="144" t="s">
        <v>1</v>
      </c>
      <c r="C7" s="146" t="s">
        <v>11</v>
      </c>
      <c r="D7" s="146" t="s">
        <v>12</v>
      </c>
      <c r="E7" s="146" t="s">
        <v>13</v>
      </c>
      <c r="F7" s="146" t="s">
        <v>14</v>
      </c>
      <c r="G7" s="146" t="s">
        <v>15</v>
      </c>
      <c r="H7" s="146" t="s">
        <v>16</v>
      </c>
      <c r="I7" s="146" t="s">
        <v>17</v>
      </c>
      <c r="J7" s="146" t="s">
        <v>18</v>
      </c>
      <c r="K7" s="147" t="s">
        <v>166</v>
      </c>
      <c r="L7" s="6"/>
    </row>
    <row r="8" spans="1:12" ht="19.5">
      <c r="A8" s="148" t="s">
        <v>2</v>
      </c>
      <c r="B8" s="668">
        <v>4229</v>
      </c>
      <c r="C8" s="669">
        <v>0</v>
      </c>
      <c r="D8" s="669">
        <v>0</v>
      </c>
      <c r="E8" s="669">
        <v>35</v>
      </c>
      <c r="F8" s="669">
        <v>2294</v>
      </c>
      <c r="G8" s="669">
        <v>1412</v>
      </c>
      <c r="H8" s="669">
        <v>138</v>
      </c>
      <c r="I8" s="669">
        <v>226</v>
      </c>
      <c r="J8" s="669">
        <v>119</v>
      </c>
      <c r="K8" s="670">
        <v>5</v>
      </c>
      <c r="L8" s="8"/>
    </row>
    <row r="9" spans="1:12" s="10" customFormat="1" ht="17.25">
      <c r="A9" s="149" t="s">
        <v>71</v>
      </c>
      <c r="B9" s="671">
        <v>338</v>
      </c>
      <c r="C9" s="672">
        <v>0</v>
      </c>
      <c r="D9" s="672">
        <v>0</v>
      </c>
      <c r="E9" s="672">
        <v>0</v>
      </c>
      <c r="F9" s="672">
        <v>0</v>
      </c>
      <c r="G9" s="672">
        <v>1</v>
      </c>
      <c r="H9" s="672">
        <v>12</v>
      </c>
      <c r="I9" s="672">
        <v>203</v>
      </c>
      <c r="J9" s="672">
        <v>117</v>
      </c>
      <c r="K9" s="673">
        <v>5</v>
      </c>
      <c r="L9" s="9"/>
    </row>
    <row r="10" spans="1:12" s="12" customFormat="1" ht="17.25">
      <c r="A10" s="150" t="s">
        <v>72</v>
      </c>
      <c r="B10" s="674">
        <v>3888</v>
      </c>
      <c r="C10" s="675">
        <v>0</v>
      </c>
      <c r="D10" s="675">
        <v>0</v>
      </c>
      <c r="E10" s="675">
        <v>35</v>
      </c>
      <c r="F10" s="675">
        <v>2294</v>
      </c>
      <c r="G10" s="675">
        <v>1411</v>
      </c>
      <c r="H10" s="675">
        <v>126</v>
      </c>
      <c r="I10" s="675">
        <v>21</v>
      </c>
      <c r="J10" s="675">
        <v>1</v>
      </c>
      <c r="K10" s="676">
        <v>0</v>
      </c>
      <c r="L10" s="11"/>
    </row>
    <row r="11" spans="1:12" s="12" customFormat="1" ht="18" thickBot="1">
      <c r="A11" s="151" t="s">
        <v>73</v>
      </c>
      <c r="B11" s="677">
        <v>3</v>
      </c>
      <c r="C11" s="678">
        <v>0</v>
      </c>
      <c r="D11" s="678">
        <v>0</v>
      </c>
      <c r="E11" s="678">
        <v>0</v>
      </c>
      <c r="F11" s="678">
        <v>0</v>
      </c>
      <c r="G11" s="678">
        <v>0</v>
      </c>
      <c r="H11" s="678">
        <v>0</v>
      </c>
      <c r="I11" s="678">
        <v>2</v>
      </c>
      <c r="J11" s="678">
        <v>1</v>
      </c>
      <c r="K11" s="679">
        <v>0</v>
      </c>
      <c r="L11" s="11"/>
    </row>
    <row r="12" spans="1:12" s="12" customFormat="1" ht="18" thickTop="1">
      <c r="A12" s="152" t="s">
        <v>74</v>
      </c>
      <c r="B12" s="138"/>
      <c r="C12" s="138"/>
      <c r="D12" s="138"/>
      <c r="E12" s="138"/>
      <c r="F12" s="138"/>
      <c r="G12" s="138"/>
      <c r="H12" s="138"/>
      <c r="I12" s="138"/>
      <c r="J12" s="138"/>
      <c r="K12" s="138"/>
      <c r="L12" s="11"/>
    </row>
    <row r="13" spans="1:12" s="12" customFormat="1" ht="17.25">
      <c r="A13" s="138"/>
      <c r="B13" s="138"/>
      <c r="C13" s="138"/>
      <c r="D13" s="138"/>
      <c r="E13" s="138"/>
      <c r="F13" s="138"/>
      <c r="G13" s="138"/>
      <c r="H13" s="138"/>
      <c r="I13" s="138"/>
      <c r="J13" s="138"/>
      <c r="K13" s="138"/>
      <c r="L13" s="11"/>
    </row>
    <row r="14" spans="1:12" s="13" customFormat="1" ht="16.5">
      <c r="A14" s="138"/>
      <c r="B14" s="138"/>
      <c r="C14" s="138"/>
      <c r="D14" s="138"/>
      <c r="E14" s="138"/>
      <c r="F14" s="138"/>
      <c r="G14" s="138"/>
      <c r="H14" s="138"/>
      <c r="I14" s="138"/>
      <c r="J14" s="138"/>
      <c r="K14" s="138"/>
      <c r="L14" s="14"/>
    </row>
    <row r="15" spans="1:12" s="15" customFormat="1" ht="13.5">
      <c r="A15" s="153" t="s">
        <v>88</v>
      </c>
      <c r="B15" s="153"/>
      <c r="C15" s="153"/>
      <c r="D15" s="153"/>
      <c r="E15" s="153"/>
      <c r="F15" s="153"/>
      <c r="G15" s="153"/>
      <c r="H15" s="153"/>
      <c r="I15" s="153"/>
      <c r="J15" s="153"/>
      <c r="K15" s="153"/>
      <c r="L15" s="16"/>
    </row>
    <row r="16" spans="1:12" s="10" customFormat="1" ht="17.25">
      <c r="A16" s="153" t="s">
        <v>75</v>
      </c>
      <c r="B16" s="153"/>
      <c r="C16" s="153"/>
      <c r="D16" s="153"/>
      <c r="E16" s="153"/>
      <c r="F16" s="153"/>
      <c r="G16" s="153"/>
      <c r="H16" s="153"/>
      <c r="I16" s="153"/>
      <c r="J16" s="153"/>
      <c r="K16" s="153"/>
      <c r="L16" s="9"/>
    </row>
    <row r="17" spans="1:12" s="10" customFormat="1" ht="18" thickBot="1">
      <c r="A17" s="154"/>
      <c r="B17" s="138"/>
      <c r="C17" s="138"/>
      <c r="D17" s="138"/>
      <c r="E17" s="138"/>
      <c r="F17" s="138"/>
      <c r="G17" s="138"/>
      <c r="H17" s="138"/>
      <c r="I17" s="138"/>
      <c r="J17" s="138"/>
      <c r="K17" s="138"/>
      <c r="L17" s="9"/>
    </row>
    <row r="18" spans="1:12" s="12" customFormat="1" ht="18.75" thickTop="1" thickBot="1">
      <c r="A18" s="143" t="s">
        <v>69</v>
      </c>
      <c r="B18" s="144" t="s">
        <v>1</v>
      </c>
      <c r="C18" s="146" t="s">
        <v>11</v>
      </c>
      <c r="D18" s="146" t="s">
        <v>12</v>
      </c>
      <c r="E18" s="146" t="s">
        <v>13</v>
      </c>
      <c r="F18" s="146" t="s">
        <v>14</v>
      </c>
      <c r="G18" s="146" t="s">
        <v>15</v>
      </c>
      <c r="H18" s="146" t="s">
        <v>16</v>
      </c>
      <c r="I18" s="146" t="s">
        <v>17</v>
      </c>
      <c r="J18" s="146" t="s">
        <v>18</v>
      </c>
      <c r="K18" s="1150" t="s">
        <v>166</v>
      </c>
      <c r="L18" s="11"/>
    </row>
    <row r="19" spans="1:12" s="12" customFormat="1" ht="17.25">
      <c r="A19" s="155" t="s">
        <v>2</v>
      </c>
      <c r="B19" s="680">
        <v>1655</v>
      </c>
      <c r="C19" s="682">
        <v>0</v>
      </c>
      <c r="D19" s="682">
        <v>0</v>
      </c>
      <c r="E19" s="682">
        <v>12</v>
      </c>
      <c r="F19" s="682">
        <v>832</v>
      </c>
      <c r="G19" s="682">
        <v>497</v>
      </c>
      <c r="H19" s="682">
        <v>56</v>
      </c>
      <c r="I19" s="682">
        <v>167</v>
      </c>
      <c r="J19" s="682">
        <v>87</v>
      </c>
      <c r="K19" s="683">
        <v>4</v>
      </c>
      <c r="L19" s="11"/>
    </row>
    <row r="20" spans="1:12" s="12" customFormat="1" ht="17.25">
      <c r="A20" s="156" t="s">
        <v>71</v>
      </c>
      <c r="B20" s="684">
        <v>265</v>
      </c>
      <c r="C20" s="686">
        <v>0</v>
      </c>
      <c r="D20" s="686">
        <v>0</v>
      </c>
      <c r="E20" s="686">
        <v>0</v>
      </c>
      <c r="F20" s="686">
        <v>0</v>
      </c>
      <c r="G20" s="686">
        <v>1</v>
      </c>
      <c r="H20" s="686">
        <v>11</v>
      </c>
      <c r="I20" s="686">
        <v>163</v>
      </c>
      <c r="J20" s="686">
        <v>86</v>
      </c>
      <c r="K20" s="687">
        <v>4</v>
      </c>
      <c r="L20" s="11"/>
    </row>
    <row r="21" spans="1:12" s="12" customFormat="1" ht="17.25">
      <c r="A21" s="157" t="s">
        <v>72</v>
      </c>
      <c r="B21" s="688">
        <v>1390</v>
      </c>
      <c r="C21" s="690">
        <v>0</v>
      </c>
      <c r="D21" s="690">
        <v>0</v>
      </c>
      <c r="E21" s="690">
        <v>12</v>
      </c>
      <c r="F21" s="690">
        <v>832</v>
      </c>
      <c r="G21" s="690">
        <v>496</v>
      </c>
      <c r="H21" s="690">
        <v>45</v>
      </c>
      <c r="I21" s="690">
        <v>4</v>
      </c>
      <c r="J21" s="690">
        <v>1</v>
      </c>
      <c r="K21" s="691">
        <v>0</v>
      </c>
      <c r="L21" s="11"/>
    </row>
    <row r="22" spans="1:12" s="17" customFormat="1" ht="20.25" thickBot="1">
      <c r="A22" s="158" t="s">
        <v>73</v>
      </c>
      <c r="B22" s="692">
        <v>0</v>
      </c>
      <c r="C22" s="694">
        <v>0</v>
      </c>
      <c r="D22" s="694">
        <v>0</v>
      </c>
      <c r="E22" s="694">
        <v>0</v>
      </c>
      <c r="F22" s="694">
        <v>0</v>
      </c>
      <c r="G22" s="694">
        <v>0</v>
      </c>
      <c r="H22" s="694">
        <v>0</v>
      </c>
      <c r="I22" s="694">
        <v>0</v>
      </c>
      <c r="J22" s="694">
        <v>0</v>
      </c>
      <c r="K22" s="695">
        <v>0</v>
      </c>
      <c r="L22" s="8"/>
    </row>
    <row r="23" spans="1:12" s="18" customFormat="1" ht="18" thickTop="1">
      <c r="A23" s="138"/>
      <c r="B23" s="138"/>
      <c r="C23" s="138"/>
      <c r="D23" s="138"/>
      <c r="E23" s="138"/>
      <c r="F23" s="138"/>
      <c r="G23" s="138"/>
      <c r="H23" s="138"/>
      <c r="I23" s="138"/>
      <c r="J23" s="138"/>
      <c r="K23" s="138"/>
      <c r="L23" s="9"/>
    </row>
    <row r="24" spans="1:12" s="10" customFormat="1" ht="17.25">
      <c r="A24" s="138"/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9"/>
    </row>
    <row r="25" spans="1:12" s="12" customFormat="1" ht="17.25">
      <c r="A25" s="153" t="s">
        <v>89</v>
      </c>
      <c r="B25" s="153"/>
      <c r="C25" s="153"/>
      <c r="D25" s="153"/>
      <c r="E25" s="153"/>
      <c r="F25" s="153"/>
      <c r="G25" s="153"/>
      <c r="H25" s="153"/>
      <c r="I25" s="153"/>
      <c r="J25" s="153"/>
      <c r="K25" s="153"/>
      <c r="L25" s="11"/>
    </row>
    <row r="26" spans="1:12" s="12" customFormat="1" ht="17.25">
      <c r="A26" s="153" t="s">
        <v>76</v>
      </c>
      <c r="B26" s="153"/>
      <c r="C26" s="153"/>
      <c r="D26" s="153"/>
      <c r="E26" s="153"/>
      <c r="F26" s="153"/>
      <c r="G26" s="153"/>
      <c r="H26" s="153"/>
      <c r="I26" s="153"/>
      <c r="J26" s="153"/>
      <c r="K26" s="153"/>
      <c r="L26" s="11"/>
    </row>
    <row r="27" spans="1:12" s="12" customFormat="1" ht="18" thickBot="1">
      <c r="A27" s="154"/>
      <c r="B27" s="138"/>
      <c r="C27" s="138"/>
      <c r="D27" s="138"/>
      <c r="E27" s="138"/>
      <c r="F27" s="138"/>
      <c r="G27" s="138"/>
      <c r="H27" s="138"/>
      <c r="I27" s="138"/>
      <c r="J27" s="138"/>
      <c r="K27" s="138"/>
      <c r="L27" s="11"/>
    </row>
    <row r="28" spans="1:12" s="12" customFormat="1" ht="18.75" thickTop="1" thickBot="1">
      <c r="A28" s="143" t="s">
        <v>69</v>
      </c>
      <c r="B28" s="144" t="s">
        <v>1</v>
      </c>
      <c r="C28" s="146" t="s">
        <v>11</v>
      </c>
      <c r="D28" s="146" t="s">
        <v>12</v>
      </c>
      <c r="E28" s="146" t="s">
        <v>13</v>
      </c>
      <c r="F28" s="146" t="s">
        <v>14</v>
      </c>
      <c r="G28" s="146" t="s">
        <v>15</v>
      </c>
      <c r="H28" s="146" t="s">
        <v>16</v>
      </c>
      <c r="I28" s="146" t="s">
        <v>17</v>
      </c>
      <c r="J28" s="146" t="s">
        <v>18</v>
      </c>
      <c r="K28" s="1150" t="s">
        <v>166</v>
      </c>
      <c r="L28" s="11"/>
    </row>
    <row r="29" spans="1:12" ht="19.5">
      <c r="A29" s="155" t="s">
        <v>2</v>
      </c>
      <c r="B29" s="680">
        <v>2574</v>
      </c>
      <c r="C29" s="682">
        <v>0</v>
      </c>
      <c r="D29" s="682">
        <v>0</v>
      </c>
      <c r="E29" s="682">
        <v>23</v>
      </c>
      <c r="F29" s="682">
        <v>1462</v>
      </c>
      <c r="G29" s="682">
        <v>915</v>
      </c>
      <c r="H29" s="682">
        <v>82</v>
      </c>
      <c r="I29" s="682">
        <v>59</v>
      </c>
      <c r="J29" s="682">
        <v>32</v>
      </c>
      <c r="K29" s="683">
        <v>1</v>
      </c>
      <c r="L29" s="8"/>
    </row>
    <row r="30" spans="1:12" s="20" customFormat="1" ht="19.5">
      <c r="A30" s="156" t="s">
        <v>71</v>
      </c>
      <c r="B30" s="684">
        <v>73</v>
      </c>
      <c r="C30" s="686">
        <v>0</v>
      </c>
      <c r="D30" s="686">
        <v>0</v>
      </c>
      <c r="E30" s="686">
        <v>0</v>
      </c>
      <c r="F30" s="686">
        <v>0</v>
      </c>
      <c r="G30" s="686">
        <v>0</v>
      </c>
      <c r="H30" s="686">
        <v>1</v>
      </c>
      <c r="I30" s="686">
        <v>40</v>
      </c>
      <c r="J30" s="686">
        <v>31</v>
      </c>
      <c r="K30" s="687">
        <v>1</v>
      </c>
      <c r="L30" s="19"/>
    </row>
    <row r="31" spans="1:12" s="21" customFormat="1" ht="17.25">
      <c r="A31" s="157" t="s">
        <v>72</v>
      </c>
      <c r="B31" s="688">
        <v>2498</v>
      </c>
      <c r="C31" s="690">
        <v>0</v>
      </c>
      <c r="D31" s="690">
        <v>0</v>
      </c>
      <c r="E31" s="690">
        <v>23</v>
      </c>
      <c r="F31" s="690">
        <v>1462</v>
      </c>
      <c r="G31" s="690">
        <v>915</v>
      </c>
      <c r="H31" s="690">
        <v>81</v>
      </c>
      <c r="I31" s="690">
        <v>17</v>
      </c>
      <c r="J31" s="690">
        <v>0</v>
      </c>
      <c r="K31" s="691">
        <v>0</v>
      </c>
      <c r="L31" s="16"/>
    </row>
    <row r="32" spans="1:12" s="12" customFormat="1" ht="18" thickBot="1">
      <c r="A32" s="158" t="s">
        <v>73</v>
      </c>
      <c r="B32" s="692">
        <v>3</v>
      </c>
      <c r="C32" s="694">
        <v>0</v>
      </c>
      <c r="D32" s="694">
        <v>0</v>
      </c>
      <c r="E32" s="694">
        <v>0</v>
      </c>
      <c r="F32" s="694">
        <v>0</v>
      </c>
      <c r="G32" s="694">
        <v>0</v>
      </c>
      <c r="H32" s="694">
        <v>0</v>
      </c>
      <c r="I32" s="694">
        <v>2</v>
      </c>
      <c r="J32" s="694">
        <v>1</v>
      </c>
      <c r="K32" s="695">
        <v>0</v>
      </c>
      <c r="L32" s="16"/>
    </row>
    <row r="33" spans="1:12" s="12" customFormat="1" ht="18" thickTop="1">
      <c r="A33" s="138"/>
      <c r="B33" s="138"/>
      <c r="C33" s="138"/>
      <c r="D33" s="138"/>
      <c r="E33" s="138"/>
      <c r="F33" s="138"/>
      <c r="G33" s="138"/>
      <c r="H33" s="138"/>
      <c r="I33" s="138"/>
      <c r="J33" s="138"/>
      <c r="K33" s="138"/>
      <c r="L33" s="16"/>
    </row>
    <row r="34" spans="1:12" s="12" customFormat="1" ht="17.25">
      <c r="A34" s="138"/>
      <c r="B34" s="138"/>
      <c r="C34" s="138"/>
      <c r="D34" s="138"/>
      <c r="E34" s="138"/>
      <c r="F34" s="138"/>
      <c r="G34" s="138"/>
      <c r="H34" s="138"/>
      <c r="I34" s="138"/>
      <c r="J34" s="138"/>
      <c r="K34" s="138"/>
      <c r="L34" s="16"/>
    </row>
    <row r="35" spans="1:12" s="15" customFormat="1" ht="17.25">
      <c r="A35" s="142" t="s">
        <v>77</v>
      </c>
      <c r="B35" s="138"/>
      <c r="C35" s="138"/>
      <c r="D35" s="138"/>
      <c r="E35" s="138"/>
      <c r="F35" s="138"/>
      <c r="G35" s="138"/>
      <c r="H35" s="138"/>
      <c r="I35" s="138"/>
      <c r="J35" s="138"/>
      <c r="K35" s="138"/>
      <c r="L35" s="16"/>
    </row>
    <row r="36" spans="1:12" s="23" customFormat="1" ht="13.5">
      <c r="A36" s="153" t="s">
        <v>78</v>
      </c>
      <c r="B36" s="153"/>
      <c r="C36" s="153"/>
      <c r="D36" s="153"/>
      <c r="E36" s="153"/>
      <c r="F36" s="153"/>
      <c r="G36" s="153"/>
      <c r="H36" s="153"/>
      <c r="I36" s="153"/>
      <c r="J36" s="153"/>
      <c r="K36" s="153"/>
      <c r="L36" s="22"/>
    </row>
    <row r="37" spans="1:12" ht="20.25" thickBot="1">
      <c r="A37" s="138"/>
      <c r="B37" s="138"/>
      <c r="C37" s="138"/>
      <c r="D37" s="138"/>
      <c r="E37" s="138"/>
      <c r="F37" s="138"/>
      <c r="G37" s="138"/>
      <c r="H37" s="138"/>
      <c r="I37" s="138"/>
      <c r="J37" s="138"/>
      <c r="K37" s="138"/>
    </row>
    <row r="38" spans="1:12" ht="28.5" thickTop="1" thickBot="1">
      <c r="A38" s="143" t="s">
        <v>69</v>
      </c>
      <c r="B38" s="144" t="s">
        <v>1</v>
      </c>
      <c r="C38" s="145" t="s">
        <v>19</v>
      </c>
      <c r="D38" s="146" t="s">
        <v>20</v>
      </c>
      <c r="E38" s="146" t="s">
        <v>21</v>
      </c>
      <c r="F38" s="159" t="s">
        <v>173</v>
      </c>
      <c r="G38" s="159" t="s">
        <v>174</v>
      </c>
      <c r="H38" s="159" t="s">
        <v>175</v>
      </c>
      <c r="I38" s="1150" t="s">
        <v>176</v>
      </c>
      <c r="J38" s="1151"/>
      <c r="K38" s="1151"/>
      <c r="L38" s="1151"/>
    </row>
    <row r="39" spans="1:12" ht="19.5">
      <c r="A39" s="155" t="s">
        <v>2</v>
      </c>
      <c r="B39" s="680">
        <v>3380</v>
      </c>
      <c r="C39" s="681">
        <v>1668</v>
      </c>
      <c r="D39" s="682">
        <v>54</v>
      </c>
      <c r="E39" s="682">
        <v>171</v>
      </c>
      <c r="F39" s="682">
        <v>0</v>
      </c>
      <c r="G39" s="682">
        <v>0</v>
      </c>
      <c r="H39" s="682">
        <v>1487</v>
      </c>
      <c r="I39" s="1152"/>
      <c r="J39" s="1153"/>
      <c r="K39" s="1153"/>
      <c r="L39" s="1153"/>
    </row>
    <row r="40" spans="1:12" ht="19.5">
      <c r="A40" s="156" t="s">
        <v>71</v>
      </c>
      <c r="B40" s="684">
        <v>78</v>
      </c>
      <c r="C40" s="685">
        <v>44</v>
      </c>
      <c r="D40" s="686">
        <v>7</v>
      </c>
      <c r="E40" s="686">
        <v>26</v>
      </c>
      <c r="F40" s="686">
        <v>0</v>
      </c>
      <c r="G40" s="686">
        <v>0</v>
      </c>
      <c r="H40" s="686">
        <v>1</v>
      </c>
      <c r="I40" s="1132" t="s">
        <v>177</v>
      </c>
      <c r="J40" s="1133"/>
      <c r="K40" s="1133"/>
      <c r="L40" s="1133"/>
    </row>
    <row r="41" spans="1:12" ht="19.5">
      <c r="A41" s="157" t="s">
        <v>72</v>
      </c>
      <c r="B41" s="688">
        <v>3298</v>
      </c>
      <c r="C41" s="689">
        <v>1624</v>
      </c>
      <c r="D41" s="690">
        <v>46</v>
      </c>
      <c r="E41" s="690">
        <v>143</v>
      </c>
      <c r="F41" s="690">
        <v>0</v>
      </c>
      <c r="G41" s="690">
        <v>0</v>
      </c>
      <c r="H41" s="690">
        <v>1485</v>
      </c>
      <c r="I41" s="1124" t="s">
        <v>178</v>
      </c>
      <c r="J41" s="1125"/>
      <c r="K41" s="1125"/>
      <c r="L41" s="1125"/>
    </row>
    <row r="42" spans="1:12" ht="20.25" thickBot="1">
      <c r="A42" s="158" t="s">
        <v>73</v>
      </c>
      <c r="B42" s="692">
        <v>4</v>
      </c>
      <c r="C42" s="693">
        <v>0</v>
      </c>
      <c r="D42" s="694">
        <v>1</v>
      </c>
      <c r="E42" s="694">
        <v>2</v>
      </c>
      <c r="F42" s="694">
        <v>0</v>
      </c>
      <c r="G42" s="694">
        <v>0</v>
      </c>
      <c r="H42" s="694">
        <v>1</v>
      </c>
      <c r="I42" s="1126" t="s">
        <v>179</v>
      </c>
      <c r="J42" s="1127"/>
      <c r="K42" s="1127"/>
      <c r="L42" s="1127"/>
    </row>
    <row r="43" spans="1:12" ht="20.25" thickTop="1">
      <c r="A43" s="160" t="s">
        <v>86</v>
      </c>
      <c r="B43" s="161"/>
      <c r="C43" s="161"/>
      <c r="D43" s="161"/>
      <c r="E43" s="161"/>
      <c r="F43" s="161"/>
      <c r="G43" s="161"/>
      <c r="H43" s="161"/>
      <c r="I43" s="161"/>
      <c r="J43" s="161"/>
      <c r="K43" s="161"/>
    </row>
    <row r="44" spans="1:12" ht="19.5"/>
    <row r="45" spans="1:12" ht="19.5"/>
    <row r="46" spans="1:12" ht="19.5"/>
    <row r="47" spans="1:12" ht="19.5"/>
    <row r="48" spans="1:12" ht="19.5"/>
    <row r="49" ht="19.5"/>
    <row r="50" ht="19.5"/>
  </sheetData>
  <mergeCells count="3">
    <mergeCell ref="A2:K2"/>
    <mergeCell ref="I6:K6"/>
    <mergeCell ref="D3:F3"/>
  </mergeCells>
  <phoneticPr fontId="3" type="noConversion"/>
  <printOptions horizontalCentered="1"/>
  <pageMargins left="0.31496062992125984" right="0.31496062992125984" top="0.94488188976377963" bottom="0.51181102362204722" header="0.70866141732283472" footer="0.31496062992125984"/>
  <pageSetup paperSize="9" scale="67" fitToWidth="0" fitToHeight="0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L50"/>
  <sheetViews>
    <sheetView showGridLines="0" zoomScale="85" zoomScaleNormal="85" zoomScaleSheetLayoutView="70" workbookViewId="0">
      <selection activeCell="B8" sqref="B8:B11"/>
    </sheetView>
  </sheetViews>
  <sheetFormatPr defaultColWidth="16.42578125" defaultRowHeight="39.950000000000003" customHeight="1"/>
  <cols>
    <col min="1" max="1" width="15.5703125" style="7" customWidth="1"/>
    <col min="2" max="2" width="14.42578125" style="7" customWidth="1"/>
    <col min="3" max="6" width="10.42578125" style="7" customWidth="1"/>
    <col min="7" max="7" width="12.140625" style="7" customWidth="1"/>
    <col min="8" max="10" width="10.42578125" style="7" customWidth="1"/>
    <col min="11" max="11" width="16.28515625" style="7" customWidth="1"/>
    <col min="12" max="12" width="1.28515625" style="7" customWidth="1"/>
    <col min="13" max="16384" width="16.42578125" style="7"/>
  </cols>
  <sheetData>
    <row r="1" spans="1:12" s="2" customFormat="1" ht="25.5">
      <c r="A1" s="162"/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"/>
    </row>
    <row r="2" spans="1:12" s="2" customFormat="1" ht="26.25">
      <c r="A2" s="1329" t="s">
        <v>67</v>
      </c>
      <c r="B2" s="1329"/>
      <c r="C2" s="1329"/>
      <c r="D2" s="1329"/>
      <c r="E2" s="1329"/>
      <c r="F2" s="1329"/>
      <c r="G2" s="1329"/>
      <c r="H2" s="1329"/>
      <c r="I2" s="1329"/>
      <c r="J2" s="1329"/>
      <c r="K2" s="1329"/>
      <c r="L2" s="1"/>
    </row>
    <row r="3" spans="1:12" s="2" customFormat="1" ht="25.5">
      <c r="A3" s="163"/>
      <c r="B3" s="164"/>
      <c r="C3" s="164"/>
      <c r="D3" s="1331" t="s">
        <v>95</v>
      </c>
      <c r="E3" s="1331"/>
      <c r="F3" s="1331"/>
      <c r="G3" s="164"/>
      <c r="H3" s="164"/>
      <c r="I3" s="164"/>
      <c r="J3" s="164"/>
      <c r="K3" s="164"/>
      <c r="L3" s="1"/>
    </row>
    <row r="4" spans="1:12" s="2" customFormat="1" ht="25.5">
      <c r="A4" s="163"/>
      <c r="B4" s="164"/>
      <c r="C4" s="164"/>
      <c r="D4" s="165"/>
      <c r="E4" s="165"/>
      <c r="F4" s="165"/>
      <c r="G4" s="164"/>
      <c r="H4" s="164"/>
      <c r="I4" s="164"/>
      <c r="J4" s="164"/>
      <c r="K4" s="164"/>
      <c r="L4" s="1"/>
    </row>
    <row r="5" spans="1:12" s="2" customFormat="1" ht="25.5">
      <c r="A5" s="166" t="s">
        <v>87</v>
      </c>
      <c r="B5" s="162"/>
      <c r="C5" s="162"/>
      <c r="D5" s="162"/>
      <c r="E5" s="162"/>
      <c r="F5" s="162"/>
      <c r="G5" s="162"/>
      <c r="H5" s="162"/>
      <c r="I5" s="162"/>
      <c r="J5" s="162"/>
      <c r="K5" s="162"/>
      <c r="L5" s="1"/>
    </row>
    <row r="6" spans="1:12" s="4" customFormat="1" ht="21" thickBot="1">
      <c r="A6" s="162"/>
      <c r="B6" s="162"/>
      <c r="C6" s="162"/>
      <c r="D6" s="162"/>
      <c r="E6" s="162"/>
      <c r="F6" s="162"/>
      <c r="G6" s="162"/>
      <c r="H6" s="162"/>
      <c r="I6" s="1330" t="s">
        <v>188</v>
      </c>
      <c r="J6" s="1330"/>
      <c r="K6" s="1330"/>
      <c r="L6" s="3"/>
    </row>
    <row r="7" spans="1:12" s="5" customFormat="1" ht="21.75" thickTop="1" thickBot="1">
      <c r="A7" s="167" t="s">
        <v>69</v>
      </c>
      <c r="B7" s="168" t="s">
        <v>1</v>
      </c>
      <c r="C7" s="170" t="s">
        <v>11</v>
      </c>
      <c r="D7" s="170" t="s">
        <v>12</v>
      </c>
      <c r="E7" s="170" t="s">
        <v>13</v>
      </c>
      <c r="F7" s="170" t="s">
        <v>14</v>
      </c>
      <c r="G7" s="170" t="s">
        <v>15</v>
      </c>
      <c r="H7" s="170" t="s">
        <v>16</v>
      </c>
      <c r="I7" s="170" t="s">
        <v>17</v>
      </c>
      <c r="J7" s="170" t="s">
        <v>18</v>
      </c>
      <c r="K7" s="171" t="s">
        <v>166</v>
      </c>
      <c r="L7" s="6"/>
    </row>
    <row r="8" spans="1:12" ht="19.5">
      <c r="A8" s="172" t="s">
        <v>2</v>
      </c>
      <c r="B8" s="696">
        <v>4415</v>
      </c>
      <c r="C8" s="697">
        <v>0</v>
      </c>
      <c r="D8" s="697">
        <v>0</v>
      </c>
      <c r="E8" s="697">
        <v>57</v>
      </c>
      <c r="F8" s="697">
        <v>2122</v>
      </c>
      <c r="G8" s="697">
        <v>1498</v>
      </c>
      <c r="H8" s="697">
        <v>217</v>
      </c>
      <c r="I8" s="697">
        <v>337</v>
      </c>
      <c r="J8" s="697">
        <v>179</v>
      </c>
      <c r="K8" s="698">
        <v>5</v>
      </c>
      <c r="L8" s="8"/>
    </row>
    <row r="9" spans="1:12" s="10" customFormat="1" ht="17.25">
      <c r="A9" s="173" t="s">
        <v>71</v>
      </c>
      <c r="B9" s="699">
        <v>481</v>
      </c>
      <c r="C9" s="700">
        <v>0</v>
      </c>
      <c r="D9" s="700">
        <v>0</v>
      </c>
      <c r="E9" s="700">
        <v>0</v>
      </c>
      <c r="F9" s="700">
        <v>0</v>
      </c>
      <c r="G9" s="700">
        <v>0</v>
      </c>
      <c r="H9" s="700">
        <v>17</v>
      </c>
      <c r="I9" s="700">
        <v>290</v>
      </c>
      <c r="J9" s="700">
        <v>169</v>
      </c>
      <c r="K9" s="701">
        <v>5</v>
      </c>
      <c r="L9" s="9"/>
    </row>
    <row r="10" spans="1:12" s="12" customFormat="1" ht="17.25">
      <c r="A10" s="174" t="s">
        <v>72</v>
      </c>
      <c r="B10" s="702">
        <v>3907</v>
      </c>
      <c r="C10" s="703">
        <v>0</v>
      </c>
      <c r="D10" s="703">
        <v>0</v>
      </c>
      <c r="E10" s="703">
        <v>57</v>
      </c>
      <c r="F10" s="703">
        <v>2122</v>
      </c>
      <c r="G10" s="703">
        <v>1498</v>
      </c>
      <c r="H10" s="703">
        <v>198</v>
      </c>
      <c r="I10" s="703">
        <v>31</v>
      </c>
      <c r="J10" s="703">
        <v>1</v>
      </c>
      <c r="K10" s="704">
        <v>0</v>
      </c>
      <c r="L10" s="11"/>
    </row>
    <row r="11" spans="1:12" s="12" customFormat="1" ht="18" thickBot="1">
      <c r="A11" s="175" t="s">
        <v>73</v>
      </c>
      <c r="B11" s="705">
        <v>27</v>
      </c>
      <c r="C11" s="706">
        <v>0</v>
      </c>
      <c r="D11" s="706">
        <v>0</v>
      </c>
      <c r="E11" s="706">
        <v>0</v>
      </c>
      <c r="F11" s="706">
        <v>0</v>
      </c>
      <c r="G11" s="706">
        <v>0</v>
      </c>
      <c r="H11" s="706">
        <v>2</v>
      </c>
      <c r="I11" s="706">
        <v>16</v>
      </c>
      <c r="J11" s="706">
        <v>9</v>
      </c>
      <c r="K11" s="707">
        <v>0</v>
      </c>
      <c r="L11" s="11"/>
    </row>
    <row r="12" spans="1:12" s="12" customFormat="1" ht="18" thickTop="1">
      <c r="A12" s="176" t="s">
        <v>74</v>
      </c>
      <c r="B12" s="162"/>
      <c r="C12" s="162"/>
      <c r="D12" s="162"/>
      <c r="E12" s="162"/>
      <c r="F12" s="162"/>
      <c r="G12" s="162"/>
      <c r="H12" s="162"/>
      <c r="I12" s="162"/>
      <c r="J12" s="162"/>
      <c r="K12" s="162"/>
      <c r="L12" s="11"/>
    </row>
    <row r="13" spans="1:12" s="12" customFormat="1" ht="17.25">
      <c r="A13" s="162"/>
      <c r="B13" s="162"/>
      <c r="C13" s="162"/>
      <c r="D13" s="162"/>
      <c r="E13" s="162"/>
      <c r="F13" s="162"/>
      <c r="G13" s="162"/>
      <c r="H13" s="162"/>
      <c r="I13" s="162"/>
      <c r="J13" s="162"/>
      <c r="K13" s="162"/>
      <c r="L13" s="11"/>
    </row>
    <row r="14" spans="1:12" s="13" customFormat="1" ht="16.5">
      <c r="A14" s="162"/>
      <c r="B14" s="162"/>
      <c r="C14" s="162"/>
      <c r="D14" s="162"/>
      <c r="E14" s="162"/>
      <c r="F14" s="162"/>
      <c r="G14" s="162"/>
      <c r="H14" s="162"/>
      <c r="I14" s="162"/>
      <c r="J14" s="162"/>
      <c r="K14" s="162"/>
      <c r="L14" s="14"/>
    </row>
    <row r="15" spans="1:12" s="15" customFormat="1" ht="13.5">
      <c r="A15" s="177" t="s">
        <v>88</v>
      </c>
      <c r="B15" s="177"/>
      <c r="C15" s="177"/>
      <c r="D15" s="177"/>
      <c r="E15" s="177"/>
      <c r="F15" s="177"/>
      <c r="G15" s="177"/>
      <c r="H15" s="177"/>
      <c r="I15" s="177"/>
      <c r="J15" s="177"/>
      <c r="K15" s="177"/>
      <c r="L15" s="16"/>
    </row>
    <row r="16" spans="1:12" s="10" customFormat="1" ht="17.25">
      <c r="A16" s="177" t="s">
        <v>75</v>
      </c>
      <c r="B16" s="177"/>
      <c r="C16" s="177"/>
      <c r="D16" s="177"/>
      <c r="E16" s="177"/>
      <c r="F16" s="177"/>
      <c r="G16" s="177"/>
      <c r="H16" s="177"/>
      <c r="I16" s="177"/>
      <c r="J16" s="177"/>
      <c r="K16" s="177"/>
      <c r="L16" s="9"/>
    </row>
    <row r="17" spans="1:12" s="10" customFormat="1" ht="18" thickBot="1">
      <c r="A17" s="178"/>
      <c r="B17" s="162"/>
      <c r="C17" s="162"/>
      <c r="D17" s="162"/>
      <c r="E17" s="162"/>
      <c r="F17" s="162"/>
      <c r="G17" s="162"/>
      <c r="H17" s="162"/>
      <c r="I17" s="162"/>
      <c r="J17" s="162"/>
      <c r="K17" s="162"/>
      <c r="L17" s="9"/>
    </row>
    <row r="18" spans="1:12" s="12" customFormat="1" ht="18.75" thickTop="1" thickBot="1">
      <c r="A18" s="167" t="s">
        <v>69</v>
      </c>
      <c r="B18" s="168" t="s">
        <v>1</v>
      </c>
      <c r="C18" s="170" t="s">
        <v>11</v>
      </c>
      <c r="D18" s="170" t="s">
        <v>12</v>
      </c>
      <c r="E18" s="170" t="s">
        <v>13</v>
      </c>
      <c r="F18" s="170" t="s">
        <v>14</v>
      </c>
      <c r="G18" s="170" t="s">
        <v>15</v>
      </c>
      <c r="H18" s="170" t="s">
        <v>16</v>
      </c>
      <c r="I18" s="170" t="s">
        <v>17</v>
      </c>
      <c r="J18" s="170" t="s">
        <v>18</v>
      </c>
      <c r="K18" s="1154" t="s">
        <v>166</v>
      </c>
      <c r="L18" s="11"/>
    </row>
    <row r="19" spans="1:12" s="12" customFormat="1" ht="17.25">
      <c r="A19" s="179" t="s">
        <v>2</v>
      </c>
      <c r="B19" s="708">
        <v>2049</v>
      </c>
      <c r="C19" s="710">
        <v>0</v>
      </c>
      <c r="D19" s="710">
        <v>0</v>
      </c>
      <c r="E19" s="710">
        <v>31</v>
      </c>
      <c r="F19" s="710">
        <v>903</v>
      </c>
      <c r="G19" s="710">
        <v>632</v>
      </c>
      <c r="H19" s="710">
        <v>88</v>
      </c>
      <c r="I19" s="710">
        <v>262</v>
      </c>
      <c r="J19" s="710">
        <v>129</v>
      </c>
      <c r="K19" s="711">
        <v>4</v>
      </c>
      <c r="L19" s="11"/>
    </row>
    <row r="20" spans="1:12" s="12" customFormat="1" ht="17.25">
      <c r="A20" s="180" t="s">
        <v>71</v>
      </c>
      <c r="B20" s="712">
        <v>393</v>
      </c>
      <c r="C20" s="714">
        <v>0</v>
      </c>
      <c r="D20" s="714">
        <v>0</v>
      </c>
      <c r="E20" s="714">
        <v>0</v>
      </c>
      <c r="F20" s="714">
        <v>0</v>
      </c>
      <c r="G20" s="714">
        <v>0</v>
      </c>
      <c r="H20" s="714">
        <v>17</v>
      </c>
      <c r="I20" s="714">
        <v>246</v>
      </c>
      <c r="J20" s="714">
        <v>126</v>
      </c>
      <c r="K20" s="715">
        <v>4</v>
      </c>
      <c r="L20" s="11"/>
    </row>
    <row r="21" spans="1:12" s="12" customFormat="1" ht="17.25">
      <c r="A21" s="181" t="s">
        <v>72</v>
      </c>
      <c r="B21" s="716">
        <v>1647</v>
      </c>
      <c r="C21" s="718">
        <v>0</v>
      </c>
      <c r="D21" s="718">
        <v>0</v>
      </c>
      <c r="E21" s="718">
        <v>31</v>
      </c>
      <c r="F21" s="718">
        <v>903</v>
      </c>
      <c r="G21" s="718">
        <v>632</v>
      </c>
      <c r="H21" s="718">
        <v>71</v>
      </c>
      <c r="I21" s="718">
        <v>9</v>
      </c>
      <c r="J21" s="718">
        <v>1</v>
      </c>
      <c r="K21" s="719">
        <v>0</v>
      </c>
      <c r="L21" s="11"/>
    </row>
    <row r="22" spans="1:12" s="17" customFormat="1" ht="20.25" thickBot="1">
      <c r="A22" s="182" t="s">
        <v>73</v>
      </c>
      <c r="B22" s="720">
        <v>9</v>
      </c>
      <c r="C22" s="722">
        <v>0</v>
      </c>
      <c r="D22" s="722">
        <v>0</v>
      </c>
      <c r="E22" s="722">
        <v>0</v>
      </c>
      <c r="F22" s="722">
        <v>0</v>
      </c>
      <c r="G22" s="722">
        <v>0</v>
      </c>
      <c r="H22" s="722">
        <v>0</v>
      </c>
      <c r="I22" s="722">
        <v>7</v>
      </c>
      <c r="J22" s="722">
        <v>2</v>
      </c>
      <c r="K22" s="723">
        <v>0</v>
      </c>
      <c r="L22" s="8"/>
    </row>
    <row r="23" spans="1:12" s="18" customFormat="1" ht="18" thickTop="1">
      <c r="A23" s="162"/>
      <c r="B23" s="162"/>
      <c r="C23" s="162"/>
      <c r="D23" s="162"/>
      <c r="E23" s="162"/>
      <c r="F23" s="162"/>
      <c r="G23" s="162"/>
      <c r="H23" s="162"/>
      <c r="I23" s="162"/>
      <c r="J23" s="162"/>
      <c r="K23" s="162"/>
      <c r="L23" s="9"/>
    </row>
    <row r="24" spans="1:12" s="10" customFormat="1" ht="17.25">
      <c r="A24" s="162"/>
      <c r="B24" s="162"/>
      <c r="C24" s="162"/>
      <c r="D24" s="162"/>
      <c r="E24" s="162"/>
      <c r="F24" s="162"/>
      <c r="G24" s="162"/>
      <c r="H24" s="162"/>
      <c r="I24" s="162"/>
      <c r="J24" s="162"/>
      <c r="K24" s="162"/>
      <c r="L24" s="9"/>
    </row>
    <row r="25" spans="1:12" s="12" customFormat="1" ht="17.25">
      <c r="A25" s="177" t="s">
        <v>89</v>
      </c>
      <c r="B25" s="177"/>
      <c r="C25" s="177"/>
      <c r="D25" s="177"/>
      <c r="E25" s="177"/>
      <c r="F25" s="177"/>
      <c r="G25" s="177"/>
      <c r="H25" s="177"/>
      <c r="I25" s="177"/>
      <c r="J25" s="177"/>
      <c r="K25" s="177"/>
      <c r="L25" s="11"/>
    </row>
    <row r="26" spans="1:12" s="12" customFormat="1" ht="17.25">
      <c r="A26" s="177" t="s">
        <v>76</v>
      </c>
      <c r="B26" s="177"/>
      <c r="C26" s="177"/>
      <c r="D26" s="177"/>
      <c r="E26" s="177"/>
      <c r="F26" s="177"/>
      <c r="G26" s="177"/>
      <c r="H26" s="177"/>
      <c r="I26" s="177"/>
      <c r="J26" s="177"/>
      <c r="K26" s="177"/>
      <c r="L26" s="11"/>
    </row>
    <row r="27" spans="1:12" s="12" customFormat="1" ht="18" thickBot="1">
      <c r="A27" s="178"/>
      <c r="B27" s="162"/>
      <c r="C27" s="162"/>
      <c r="D27" s="162"/>
      <c r="E27" s="162"/>
      <c r="F27" s="162"/>
      <c r="G27" s="162"/>
      <c r="H27" s="162"/>
      <c r="I27" s="162"/>
      <c r="J27" s="162"/>
      <c r="K27" s="162"/>
      <c r="L27" s="11"/>
    </row>
    <row r="28" spans="1:12" s="12" customFormat="1" ht="18.75" thickTop="1" thickBot="1">
      <c r="A28" s="167" t="s">
        <v>69</v>
      </c>
      <c r="B28" s="168" t="s">
        <v>1</v>
      </c>
      <c r="C28" s="170" t="s">
        <v>11</v>
      </c>
      <c r="D28" s="170" t="s">
        <v>12</v>
      </c>
      <c r="E28" s="170" t="s">
        <v>13</v>
      </c>
      <c r="F28" s="170" t="s">
        <v>14</v>
      </c>
      <c r="G28" s="170" t="s">
        <v>15</v>
      </c>
      <c r="H28" s="170" t="s">
        <v>16</v>
      </c>
      <c r="I28" s="170" t="s">
        <v>17</v>
      </c>
      <c r="J28" s="170" t="s">
        <v>18</v>
      </c>
      <c r="K28" s="1154" t="s">
        <v>166</v>
      </c>
      <c r="L28" s="11"/>
    </row>
    <row r="29" spans="1:12" ht="19.5">
      <c r="A29" s="179" t="s">
        <v>2</v>
      </c>
      <c r="B29" s="708">
        <v>2366</v>
      </c>
      <c r="C29" s="710">
        <v>0</v>
      </c>
      <c r="D29" s="710">
        <v>0</v>
      </c>
      <c r="E29" s="710">
        <v>26</v>
      </c>
      <c r="F29" s="710">
        <v>1219</v>
      </c>
      <c r="G29" s="710">
        <v>866</v>
      </c>
      <c r="H29" s="710">
        <v>129</v>
      </c>
      <c r="I29" s="710">
        <v>75</v>
      </c>
      <c r="J29" s="710">
        <v>50</v>
      </c>
      <c r="K29" s="711">
        <v>1</v>
      </c>
      <c r="L29" s="8"/>
    </row>
    <row r="30" spans="1:12" s="20" customFormat="1" ht="19.5">
      <c r="A30" s="180" t="s">
        <v>71</v>
      </c>
      <c r="B30" s="712">
        <v>88</v>
      </c>
      <c r="C30" s="714">
        <v>0</v>
      </c>
      <c r="D30" s="714">
        <v>0</v>
      </c>
      <c r="E30" s="714">
        <v>0</v>
      </c>
      <c r="F30" s="714">
        <v>0</v>
      </c>
      <c r="G30" s="714">
        <v>0</v>
      </c>
      <c r="H30" s="714">
        <v>0</v>
      </c>
      <c r="I30" s="714">
        <v>44</v>
      </c>
      <c r="J30" s="714">
        <v>43</v>
      </c>
      <c r="K30" s="715">
        <v>1</v>
      </c>
      <c r="L30" s="19"/>
    </row>
    <row r="31" spans="1:12" s="21" customFormat="1" ht="17.25">
      <c r="A31" s="181" t="s">
        <v>72</v>
      </c>
      <c r="B31" s="712">
        <v>2260</v>
      </c>
      <c r="C31" s="718">
        <v>0</v>
      </c>
      <c r="D31" s="718">
        <v>0</v>
      </c>
      <c r="E31" s="718">
        <v>26</v>
      </c>
      <c r="F31" s="718">
        <v>1219</v>
      </c>
      <c r="G31" s="718">
        <v>866</v>
      </c>
      <c r="H31" s="718">
        <v>127</v>
      </c>
      <c r="I31" s="718">
        <v>22</v>
      </c>
      <c r="J31" s="718">
        <v>0</v>
      </c>
      <c r="K31" s="719">
        <v>0</v>
      </c>
      <c r="L31" s="16"/>
    </row>
    <row r="32" spans="1:12" s="12" customFormat="1" ht="18" thickBot="1">
      <c r="A32" s="182" t="s">
        <v>73</v>
      </c>
      <c r="B32" s="712">
        <v>18</v>
      </c>
      <c r="C32" s="722">
        <v>0</v>
      </c>
      <c r="D32" s="722">
        <v>0</v>
      </c>
      <c r="E32" s="722">
        <v>0</v>
      </c>
      <c r="F32" s="722">
        <v>0</v>
      </c>
      <c r="G32" s="722">
        <v>0</v>
      </c>
      <c r="H32" s="722">
        <v>2</v>
      </c>
      <c r="I32" s="722">
        <v>9</v>
      </c>
      <c r="J32" s="722">
        <v>7</v>
      </c>
      <c r="K32" s="723">
        <v>0</v>
      </c>
      <c r="L32" s="16"/>
    </row>
    <row r="33" spans="1:12" s="12" customFormat="1" ht="18" thickTop="1">
      <c r="A33" s="162"/>
      <c r="B33" s="162"/>
      <c r="C33" s="162"/>
      <c r="D33" s="162"/>
      <c r="E33" s="162"/>
      <c r="F33" s="162"/>
      <c r="G33" s="162"/>
      <c r="H33" s="162"/>
      <c r="I33" s="162"/>
      <c r="J33" s="162"/>
      <c r="K33" s="162"/>
      <c r="L33" s="16"/>
    </row>
    <row r="34" spans="1:12" s="12" customFormat="1" ht="17.25">
      <c r="A34" s="162"/>
      <c r="B34" s="162"/>
      <c r="C34" s="162"/>
      <c r="D34" s="162"/>
      <c r="E34" s="162"/>
      <c r="F34" s="162"/>
      <c r="G34" s="162"/>
      <c r="H34" s="162"/>
      <c r="I34" s="162"/>
      <c r="J34" s="162"/>
      <c r="K34" s="162"/>
      <c r="L34" s="16"/>
    </row>
    <row r="35" spans="1:12" s="15" customFormat="1" ht="17.25">
      <c r="A35" s="166" t="s">
        <v>77</v>
      </c>
      <c r="B35" s="162"/>
      <c r="C35" s="162"/>
      <c r="D35" s="162"/>
      <c r="E35" s="162"/>
      <c r="F35" s="162"/>
      <c r="G35" s="162"/>
      <c r="H35" s="162"/>
      <c r="I35" s="162"/>
      <c r="J35" s="162"/>
      <c r="K35" s="162"/>
      <c r="L35" s="16"/>
    </row>
    <row r="36" spans="1:12" s="23" customFormat="1" ht="13.5">
      <c r="A36" s="177" t="s">
        <v>78</v>
      </c>
      <c r="B36" s="177"/>
      <c r="C36" s="177"/>
      <c r="D36" s="177"/>
      <c r="E36" s="177"/>
      <c r="F36" s="177"/>
      <c r="G36" s="177"/>
      <c r="H36" s="177"/>
      <c r="I36" s="177"/>
      <c r="J36" s="177"/>
      <c r="K36" s="177"/>
      <c r="L36" s="22"/>
    </row>
    <row r="37" spans="1:12" ht="20.25" thickBot="1">
      <c r="A37" s="162"/>
      <c r="B37" s="162"/>
      <c r="C37" s="162"/>
      <c r="D37" s="162"/>
      <c r="E37" s="162"/>
      <c r="F37" s="162"/>
      <c r="G37" s="162"/>
      <c r="H37" s="162"/>
      <c r="I37" s="162"/>
      <c r="J37" s="162"/>
      <c r="K37" s="162"/>
    </row>
    <row r="38" spans="1:12" ht="28.5" thickTop="1" thickBot="1">
      <c r="A38" s="167" t="s">
        <v>69</v>
      </c>
      <c r="B38" s="168" t="s">
        <v>1</v>
      </c>
      <c r="C38" s="169" t="s">
        <v>19</v>
      </c>
      <c r="D38" s="170" t="s">
        <v>20</v>
      </c>
      <c r="E38" s="170" t="s">
        <v>21</v>
      </c>
      <c r="F38" s="183" t="s">
        <v>173</v>
      </c>
      <c r="G38" s="183" t="s">
        <v>174</v>
      </c>
      <c r="H38" s="183" t="s">
        <v>175</v>
      </c>
      <c r="I38" s="1154" t="s">
        <v>176</v>
      </c>
      <c r="J38" s="1155"/>
      <c r="K38" s="1155"/>
      <c r="L38" s="1155"/>
    </row>
    <row r="39" spans="1:12" ht="19.5">
      <c r="A39" s="179" t="s">
        <v>2</v>
      </c>
      <c r="B39" s="708">
        <v>3089</v>
      </c>
      <c r="C39" s="709">
        <v>1476</v>
      </c>
      <c r="D39" s="710">
        <v>64</v>
      </c>
      <c r="E39" s="710">
        <v>294</v>
      </c>
      <c r="F39" s="710">
        <v>0</v>
      </c>
      <c r="G39" s="710">
        <v>0</v>
      </c>
      <c r="H39" s="710">
        <v>1255</v>
      </c>
      <c r="I39" s="1156"/>
      <c r="J39" s="1157"/>
      <c r="K39" s="1157"/>
      <c r="L39" s="1157"/>
    </row>
    <row r="40" spans="1:12" ht="19.5">
      <c r="A40" s="180" t="s">
        <v>71</v>
      </c>
      <c r="B40" s="712">
        <v>100</v>
      </c>
      <c r="C40" s="713">
        <v>38</v>
      </c>
      <c r="D40" s="714">
        <v>5</v>
      </c>
      <c r="E40" s="714">
        <v>56</v>
      </c>
      <c r="F40" s="714">
        <v>0</v>
      </c>
      <c r="G40" s="714">
        <v>0</v>
      </c>
      <c r="H40" s="714">
        <v>1</v>
      </c>
      <c r="I40" s="1132" t="s">
        <v>177</v>
      </c>
      <c r="J40" s="1133"/>
      <c r="K40" s="1133"/>
      <c r="L40" s="1133"/>
    </row>
    <row r="41" spans="1:12" ht="19.5">
      <c r="A41" s="181" t="s">
        <v>72</v>
      </c>
      <c r="B41" s="716">
        <v>2963</v>
      </c>
      <c r="C41" s="717">
        <v>1431</v>
      </c>
      <c r="D41" s="718">
        <v>58</v>
      </c>
      <c r="E41" s="718">
        <v>227</v>
      </c>
      <c r="F41" s="718">
        <v>0</v>
      </c>
      <c r="G41" s="718">
        <v>0</v>
      </c>
      <c r="H41" s="718">
        <v>1247</v>
      </c>
      <c r="I41" s="1124" t="s">
        <v>178</v>
      </c>
      <c r="J41" s="1125"/>
      <c r="K41" s="1125"/>
      <c r="L41" s="1125"/>
    </row>
    <row r="42" spans="1:12" ht="20.25" thickBot="1">
      <c r="A42" s="182" t="s">
        <v>73</v>
      </c>
      <c r="B42" s="720">
        <v>26</v>
      </c>
      <c r="C42" s="721">
        <v>7</v>
      </c>
      <c r="D42" s="722">
        <v>1</v>
      </c>
      <c r="E42" s="722">
        <v>11</v>
      </c>
      <c r="F42" s="722">
        <v>0</v>
      </c>
      <c r="G42" s="722">
        <v>0</v>
      </c>
      <c r="H42" s="722">
        <v>7</v>
      </c>
      <c r="I42" s="1126" t="s">
        <v>179</v>
      </c>
      <c r="J42" s="1127"/>
      <c r="K42" s="1127"/>
      <c r="L42" s="1127"/>
    </row>
    <row r="43" spans="1:12" ht="20.25" thickTop="1">
      <c r="A43" s="184" t="s">
        <v>86</v>
      </c>
      <c r="B43" s="185"/>
      <c r="C43" s="185"/>
      <c r="D43" s="185"/>
      <c r="E43" s="185"/>
      <c r="F43" s="185"/>
      <c r="G43" s="185"/>
      <c r="H43" s="185"/>
      <c r="I43" s="185"/>
      <c r="J43" s="185"/>
      <c r="K43" s="185"/>
    </row>
    <row r="44" spans="1:12" ht="19.5"/>
    <row r="45" spans="1:12" ht="19.5"/>
    <row r="46" spans="1:12" ht="19.5"/>
    <row r="47" spans="1:12" ht="19.5"/>
    <row r="48" spans="1:12" ht="19.5"/>
    <row r="49" ht="19.5"/>
    <row r="50" ht="19.5"/>
  </sheetData>
  <mergeCells count="3">
    <mergeCell ref="A2:K2"/>
    <mergeCell ref="I6:K6"/>
    <mergeCell ref="D3:F3"/>
  </mergeCells>
  <phoneticPr fontId="3" type="noConversion"/>
  <printOptions horizontalCentered="1"/>
  <pageMargins left="0.31496062992125984" right="0.31496062992125984" top="0.94488188976377963" bottom="0.51181102362204722" header="0.70866141732283472" footer="0.31496062992125984"/>
  <pageSetup paperSize="9" scale="67" fitToWidth="0" fitToHeight="0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L50"/>
  <sheetViews>
    <sheetView showGridLines="0" zoomScale="85" zoomScaleNormal="85" zoomScaleSheetLayoutView="70" workbookViewId="0">
      <selection activeCell="B8" sqref="B8:B11"/>
    </sheetView>
  </sheetViews>
  <sheetFormatPr defaultColWidth="16.42578125" defaultRowHeight="39.950000000000003" customHeight="1"/>
  <cols>
    <col min="1" max="1" width="15.5703125" style="7" customWidth="1"/>
    <col min="2" max="2" width="14.42578125" style="7" customWidth="1"/>
    <col min="3" max="6" width="10.42578125" style="7" customWidth="1"/>
    <col min="7" max="7" width="12.140625" style="7" customWidth="1"/>
    <col min="8" max="10" width="10.42578125" style="7" customWidth="1"/>
    <col min="11" max="11" width="16.28515625" style="7" customWidth="1"/>
    <col min="12" max="12" width="2" style="7" customWidth="1"/>
    <col min="13" max="16384" width="16.42578125" style="7"/>
  </cols>
  <sheetData>
    <row r="1" spans="1:12" s="2" customFormat="1" ht="25.5">
      <c r="A1" s="186"/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"/>
    </row>
    <row r="2" spans="1:12" s="2" customFormat="1" ht="26.25">
      <c r="A2" s="1332" t="s">
        <v>67</v>
      </c>
      <c r="B2" s="1332"/>
      <c r="C2" s="1332"/>
      <c r="D2" s="1332"/>
      <c r="E2" s="1332"/>
      <c r="F2" s="1332"/>
      <c r="G2" s="1332"/>
      <c r="H2" s="1332"/>
      <c r="I2" s="1332"/>
      <c r="J2" s="1332"/>
      <c r="K2" s="1332"/>
      <c r="L2" s="1"/>
    </row>
    <row r="3" spans="1:12" s="2" customFormat="1" ht="25.5">
      <c r="A3" s="187"/>
      <c r="B3" s="188"/>
      <c r="C3" s="188"/>
      <c r="D3" s="1334" t="s">
        <v>96</v>
      </c>
      <c r="E3" s="1334"/>
      <c r="F3" s="1334"/>
      <c r="G3" s="188"/>
      <c r="H3" s="188"/>
      <c r="I3" s="188"/>
      <c r="J3" s="188"/>
      <c r="K3" s="188"/>
      <c r="L3" s="1"/>
    </row>
    <row r="4" spans="1:12" s="2" customFormat="1" ht="25.5">
      <c r="A4" s="187"/>
      <c r="B4" s="188"/>
      <c r="C4" s="188"/>
      <c r="D4" s="189"/>
      <c r="E4" s="189"/>
      <c r="F4" s="189"/>
      <c r="G4" s="188"/>
      <c r="H4" s="188"/>
      <c r="I4" s="188"/>
      <c r="J4" s="188"/>
      <c r="K4" s="188"/>
      <c r="L4" s="1"/>
    </row>
    <row r="5" spans="1:12" s="2" customFormat="1" ht="25.5">
      <c r="A5" s="190" t="s">
        <v>87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"/>
    </row>
    <row r="6" spans="1:12" s="4" customFormat="1" ht="21" thickBot="1">
      <c r="A6" s="186"/>
      <c r="B6" s="186"/>
      <c r="C6" s="186"/>
      <c r="D6" s="186"/>
      <c r="E6" s="186"/>
      <c r="F6" s="186"/>
      <c r="G6" s="186"/>
      <c r="H6" s="186"/>
      <c r="I6" s="1333" t="s">
        <v>189</v>
      </c>
      <c r="J6" s="1333"/>
      <c r="K6" s="1333"/>
      <c r="L6" s="3"/>
    </row>
    <row r="7" spans="1:12" s="5" customFormat="1" ht="21.75" thickTop="1" thickBot="1">
      <c r="A7" s="191" t="s">
        <v>69</v>
      </c>
      <c r="B7" s="192" t="s">
        <v>1</v>
      </c>
      <c r="C7" s="194" t="s">
        <v>11</v>
      </c>
      <c r="D7" s="194" t="s">
        <v>12</v>
      </c>
      <c r="E7" s="194" t="s">
        <v>13</v>
      </c>
      <c r="F7" s="194" t="s">
        <v>14</v>
      </c>
      <c r="G7" s="194" t="s">
        <v>15</v>
      </c>
      <c r="H7" s="194" t="s">
        <v>16</v>
      </c>
      <c r="I7" s="194" t="s">
        <v>17</v>
      </c>
      <c r="J7" s="194" t="s">
        <v>18</v>
      </c>
      <c r="K7" s="195" t="s">
        <v>166</v>
      </c>
      <c r="L7" s="6"/>
    </row>
    <row r="8" spans="1:12" ht="19.5">
      <c r="A8" s="196" t="s">
        <v>2</v>
      </c>
      <c r="B8" s="724">
        <v>3141</v>
      </c>
      <c r="C8" s="725">
        <v>0</v>
      </c>
      <c r="D8" s="725">
        <v>0</v>
      </c>
      <c r="E8" s="725">
        <v>55</v>
      </c>
      <c r="F8" s="725">
        <v>1698</v>
      </c>
      <c r="G8" s="725">
        <v>1059</v>
      </c>
      <c r="H8" s="725">
        <v>80</v>
      </c>
      <c r="I8" s="725">
        <v>172</v>
      </c>
      <c r="J8" s="725">
        <v>76</v>
      </c>
      <c r="K8" s="726">
        <v>1</v>
      </c>
      <c r="L8" s="8"/>
    </row>
    <row r="9" spans="1:12" s="10" customFormat="1" ht="17.25">
      <c r="A9" s="197" t="s">
        <v>71</v>
      </c>
      <c r="B9" s="727">
        <v>238</v>
      </c>
      <c r="C9" s="728">
        <v>0</v>
      </c>
      <c r="D9" s="728">
        <v>0</v>
      </c>
      <c r="E9" s="728">
        <v>0</v>
      </c>
      <c r="F9" s="728">
        <v>0</v>
      </c>
      <c r="G9" s="728">
        <v>0</v>
      </c>
      <c r="H9" s="728">
        <v>5</v>
      </c>
      <c r="I9" s="728">
        <v>157</v>
      </c>
      <c r="J9" s="728">
        <v>75</v>
      </c>
      <c r="K9" s="729">
        <v>1</v>
      </c>
      <c r="L9" s="9"/>
    </row>
    <row r="10" spans="1:12" s="12" customFormat="1" ht="17.25">
      <c r="A10" s="198" t="s">
        <v>72</v>
      </c>
      <c r="B10" s="730">
        <v>2897</v>
      </c>
      <c r="C10" s="731">
        <v>0</v>
      </c>
      <c r="D10" s="731">
        <v>0</v>
      </c>
      <c r="E10" s="731">
        <v>55</v>
      </c>
      <c r="F10" s="731">
        <v>1698</v>
      </c>
      <c r="G10" s="731">
        <v>1059</v>
      </c>
      <c r="H10" s="731">
        <v>75</v>
      </c>
      <c r="I10" s="731">
        <v>10</v>
      </c>
      <c r="J10" s="731">
        <v>0</v>
      </c>
      <c r="K10" s="732">
        <v>0</v>
      </c>
      <c r="L10" s="11"/>
    </row>
    <row r="11" spans="1:12" s="12" customFormat="1" ht="18" thickBot="1">
      <c r="A11" s="199" t="s">
        <v>73</v>
      </c>
      <c r="B11" s="733">
        <v>6</v>
      </c>
      <c r="C11" s="734">
        <v>0</v>
      </c>
      <c r="D11" s="734">
        <v>0</v>
      </c>
      <c r="E11" s="734">
        <v>0</v>
      </c>
      <c r="F11" s="734">
        <v>0</v>
      </c>
      <c r="G11" s="734">
        <v>0</v>
      </c>
      <c r="H11" s="734">
        <v>0</v>
      </c>
      <c r="I11" s="734">
        <v>5</v>
      </c>
      <c r="J11" s="734">
        <v>1</v>
      </c>
      <c r="K11" s="735">
        <v>0</v>
      </c>
      <c r="L11" s="11"/>
    </row>
    <row r="12" spans="1:12" s="12" customFormat="1" ht="18" thickTop="1">
      <c r="A12" s="200" t="s">
        <v>74</v>
      </c>
      <c r="B12" s="186"/>
      <c r="C12" s="186"/>
      <c r="D12" s="186"/>
      <c r="E12" s="186"/>
      <c r="F12" s="186"/>
      <c r="G12" s="186"/>
      <c r="H12" s="186"/>
      <c r="I12" s="186"/>
      <c r="J12" s="186"/>
      <c r="K12" s="186"/>
      <c r="L12" s="11"/>
    </row>
    <row r="13" spans="1:12" s="12" customFormat="1" ht="17.25">
      <c r="A13" s="186"/>
      <c r="B13" s="186"/>
      <c r="C13" s="186"/>
      <c r="D13" s="186"/>
      <c r="E13" s="186"/>
      <c r="F13" s="186"/>
      <c r="G13" s="186"/>
      <c r="H13" s="186"/>
      <c r="I13" s="186"/>
      <c r="J13" s="186"/>
      <c r="K13" s="186"/>
      <c r="L13" s="11"/>
    </row>
    <row r="14" spans="1:12" s="13" customFormat="1" ht="16.5">
      <c r="A14" s="186"/>
      <c r="B14" s="186"/>
      <c r="C14" s="186"/>
      <c r="D14" s="186"/>
      <c r="E14" s="186"/>
      <c r="F14" s="186"/>
      <c r="G14" s="186"/>
      <c r="H14" s="186"/>
      <c r="I14" s="186"/>
      <c r="J14" s="186"/>
      <c r="K14" s="186"/>
      <c r="L14" s="14"/>
    </row>
    <row r="15" spans="1:12" s="15" customFormat="1" ht="13.5">
      <c r="A15" s="201" t="s">
        <v>88</v>
      </c>
      <c r="B15" s="201"/>
      <c r="C15" s="201"/>
      <c r="D15" s="201"/>
      <c r="E15" s="201"/>
      <c r="F15" s="201"/>
      <c r="G15" s="201"/>
      <c r="H15" s="201"/>
      <c r="I15" s="201"/>
      <c r="J15" s="201"/>
      <c r="K15" s="201"/>
      <c r="L15" s="16"/>
    </row>
    <row r="16" spans="1:12" s="10" customFormat="1" ht="17.25">
      <c r="A16" s="201" t="s">
        <v>75</v>
      </c>
      <c r="B16" s="201"/>
      <c r="C16" s="201"/>
      <c r="D16" s="201"/>
      <c r="E16" s="201"/>
      <c r="F16" s="201"/>
      <c r="G16" s="201"/>
      <c r="H16" s="201"/>
      <c r="I16" s="201"/>
      <c r="J16" s="201"/>
      <c r="K16" s="201"/>
      <c r="L16" s="9"/>
    </row>
    <row r="17" spans="1:12" s="10" customFormat="1" ht="18" thickBot="1">
      <c r="A17" s="202"/>
      <c r="B17" s="186"/>
      <c r="C17" s="186"/>
      <c r="D17" s="186"/>
      <c r="E17" s="186"/>
      <c r="F17" s="186"/>
      <c r="G17" s="186"/>
      <c r="H17" s="186"/>
      <c r="I17" s="186"/>
      <c r="J17" s="186"/>
      <c r="K17" s="186"/>
      <c r="L17" s="9"/>
    </row>
    <row r="18" spans="1:12" s="12" customFormat="1" ht="18.75" thickTop="1" thickBot="1">
      <c r="A18" s="191" t="s">
        <v>69</v>
      </c>
      <c r="B18" s="192" t="s">
        <v>1</v>
      </c>
      <c r="C18" s="194" t="s">
        <v>11</v>
      </c>
      <c r="D18" s="194" t="s">
        <v>12</v>
      </c>
      <c r="E18" s="194" t="s">
        <v>13</v>
      </c>
      <c r="F18" s="194" t="s">
        <v>14</v>
      </c>
      <c r="G18" s="194" t="s">
        <v>15</v>
      </c>
      <c r="H18" s="194" t="s">
        <v>16</v>
      </c>
      <c r="I18" s="194" t="s">
        <v>17</v>
      </c>
      <c r="J18" s="194" t="s">
        <v>18</v>
      </c>
      <c r="K18" s="1158" t="s">
        <v>166</v>
      </c>
      <c r="L18" s="11"/>
    </row>
    <row r="19" spans="1:12" s="12" customFormat="1" ht="17.25">
      <c r="A19" s="203" t="s">
        <v>2</v>
      </c>
      <c r="B19" s="736">
        <v>1180</v>
      </c>
      <c r="C19" s="738">
        <v>0</v>
      </c>
      <c r="D19" s="738">
        <v>0</v>
      </c>
      <c r="E19" s="738">
        <v>18</v>
      </c>
      <c r="F19" s="738">
        <v>597</v>
      </c>
      <c r="G19" s="738">
        <v>359</v>
      </c>
      <c r="H19" s="738">
        <v>29</v>
      </c>
      <c r="I19" s="738">
        <v>123</v>
      </c>
      <c r="J19" s="738">
        <v>53</v>
      </c>
      <c r="K19" s="739">
        <v>1</v>
      </c>
      <c r="L19" s="11"/>
    </row>
    <row r="20" spans="1:12" s="12" customFormat="1" ht="17.25">
      <c r="A20" s="204" t="s">
        <v>71</v>
      </c>
      <c r="B20" s="740">
        <v>176</v>
      </c>
      <c r="C20" s="742">
        <v>0</v>
      </c>
      <c r="D20" s="742">
        <v>0</v>
      </c>
      <c r="E20" s="742">
        <v>0</v>
      </c>
      <c r="F20" s="742">
        <v>0</v>
      </c>
      <c r="G20" s="742">
        <v>0</v>
      </c>
      <c r="H20" s="742">
        <v>4</v>
      </c>
      <c r="I20" s="742">
        <v>119</v>
      </c>
      <c r="J20" s="742">
        <v>52</v>
      </c>
      <c r="K20" s="743">
        <v>1</v>
      </c>
      <c r="L20" s="11"/>
    </row>
    <row r="21" spans="1:12" s="12" customFormat="1" ht="17.25">
      <c r="A21" s="205" t="s">
        <v>72</v>
      </c>
      <c r="B21" s="744">
        <v>1001</v>
      </c>
      <c r="C21" s="746">
        <v>0</v>
      </c>
      <c r="D21" s="746">
        <v>0</v>
      </c>
      <c r="E21" s="746">
        <v>18</v>
      </c>
      <c r="F21" s="746">
        <v>597</v>
      </c>
      <c r="G21" s="746">
        <v>359</v>
      </c>
      <c r="H21" s="746">
        <v>25</v>
      </c>
      <c r="I21" s="746">
        <v>2</v>
      </c>
      <c r="J21" s="746">
        <v>0</v>
      </c>
      <c r="K21" s="747">
        <v>0</v>
      </c>
      <c r="L21" s="11"/>
    </row>
    <row r="22" spans="1:12" s="17" customFormat="1" ht="20.25" thickBot="1">
      <c r="A22" s="206" t="s">
        <v>73</v>
      </c>
      <c r="B22" s="748">
        <v>3</v>
      </c>
      <c r="C22" s="750">
        <v>0</v>
      </c>
      <c r="D22" s="750">
        <v>0</v>
      </c>
      <c r="E22" s="750">
        <v>0</v>
      </c>
      <c r="F22" s="750">
        <v>0</v>
      </c>
      <c r="G22" s="750">
        <v>0</v>
      </c>
      <c r="H22" s="750">
        <v>0</v>
      </c>
      <c r="I22" s="750">
        <v>2</v>
      </c>
      <c r="J22" s="750">
        <v>1</v>
      </c>
      <c r="K22" s="751">
        <v>0</v>
      </c>
      <c r="L22" s="8"/>
    </row>
    <row r="23" spans="1:12" s="18" customFormat="1" ht="18" thickTop="1">
      <c r="A23" s="186"/>
      <c r="B23" s="186"/>
      <c r="C23" s="186"/>
      <c r="D23" s="186"/>
      <c r="E23" s="186"/>
      <c r="F23" s="186"/>
      <c r="G23" s="186"/>
      <c r="H23" s="186"/>
      <c r="I23" s="186"/>
      <c r="J23" s="186"/>
      <c r="K23" s="186"/>
      <c r="L23" s="9"/>
    </row>
    <row r="24" spans="1:12" s="10" customFormat="1" ht="17.25">
      <c r="A24" s="186"/>
      <c r="B24" s="186"/>
      <c r="C24" s="186"/>
      <c r="D24" s="186"/>
      <c r="E24" s="186"/>
      <c r="F24" s="186"/>
      <c r="G24" s="186"/>
      <c r="H24" s="186"/>
      <c r="I24" s="186"/>
      <c r="J24" s="186"/>
      <c r="K24" s="186"/>
      <c r="L24" s="9"/>
    </row>
    <row r="25" spans="1:12" s="12" customFormat="1" ht="17.25">
      <c r="A25" s="201" t="s">
        <v>89</v>
      </c>
      <c r="B25" s="201"/>
      <c r="C25" s="201"/>
      <c r="D25" s="201"/>
      <c r="E25" s="201"/>
      <c r="F25" s="201"/>
      <c r="G25" s="201"/>
      <c r="H25" s="201"/>
      <c r="I25" s="201"/>
      <c r="J25" s="201"/>
      <c r="K25" s="201"/>
      <c r="L25" s="11"/>
    </row>
    <row r="26" spans="1:12" s="12" customFormat="1" ht="17.25">
      <c r="A26" s="201" t="s">
        <v>76</v>
      </c>
      <c r="B26" s="201"/>
      <c r="C26" s="201"/>
      <c r="D26" s="201"/>
      <c r="E26" s="201"/>
      <c r="F26" s="201"/>
      <c r="G26" s="201"/>
      <c r="H26" s="201"/>
      <c r="I26" s="201"/>
      <c r="J26" s="201"/>
      <c r="K26" s="201"/>
      <c r="L26" s="11"/>
    </row>
    <row r="27" spans="1:12" s="12" customFormat="1" ht="18" thickBot="1">
      <c r="A27" s="202"/>
      <c r="B27" s="186"/>
      <c r="C27" s="186"/>
      <c r="D27" s="186"/>
      <c r="E27" s="186"/>
      <c r="F27" s="186"/>
      <c r="G27" s="186"/>
      <c r="H27" s="186"/>
      <c r="I27" s="186"/>
      <c r="J27" s="186"/>
      <c r="K27" s="186"/>
      <c r="L27" s="11"/>
    </row>
    <row r="28" spans="1:12" s="12" customFormat="1" ht="18.75" thickTop="1" thickBot="1">
      <c r="A28" s="191" t="s">
        <v>69</v>
      </c>
      <c r="B28" s="192" t="s">
        <v>1</v>
      </c>
      <c r="C28" s="194" t="s">
        <v>11</v>
      </c>
      <c r="D28" s="194" t="s">
        <v>12</v>
      </c>
      <c r="E28" s="194" t="s">
        <v>13</v>
      </c>
      <c r="F28" s="194" t="s">
        <v>14</v>
      </c>
      <c r="G28" s="194" t="s">
        <v>15</v>
      </c>
      <c r="H28" s="194" t="s">
        <v>16</v>
      </c>
      <c r="I28" s="194" t="s">
        <v>17</v>
      </c>
      <c r="J28" s="194" t="s">
        <v>18</v>
      </c>
      <c r="K28" s="1158" t="s">
        <v>166</v>
      </c>
      <c r="L28" s="11"/>
    </row>
    <row r="29" spans="1:12" ht="19.5">
      <c r="A29" s="203" t="s">
        <v>2</v>
      </c>
      <c r="B29" s="736">
        <v>1961</v>
      </c>
      <c r="C29" s="738">
        <v>0</v>
      </c>
      <c r="D29" s="738">
        <v>0</v>
      </c>
      <c r="E29" s="738">
        <v>37</v>
      </c>
      <c r="F29" s="738">
        <v>1101</v>
      </c>
      <c r="G29" s="738">
        <v>700</v>
      </c>
      <c r="H29" s="738">
        <v>51</v>
      </c>
      <c r="I29" s="738">
        <v>49</v>
      </c>
      <c r="J29" s="738">
        <v>23</v>
      </c>
      <c r="K29" s="739">
        <v>0</v>
      </c>
      <c r="L29" s="8"/>
    </row>
    <row r="30" spans="1:12" s="20" customFormat="1" ht="19.5">
      <c r="A30" s="204" t="s">
        <v>71</v>
      </c>
      <c r="B30" s="740">
        <v>62</v>
      </c>
      <c r="C30" s="742">
        <v>0</v>
      </c>
      <c r="D30" s="742">
        <v>0</v>
      </c>
      <c r="E30" s="742">
        <v>0</v>
      </c>
      <c r="F30" s="742">
        <v>0</v>
      </c>
      <c r="G30" s="742">
        <v>0</v>
      </c>
      <c r="H30" s="742">
        <v>1</v>
      </c>
      <c r="I30" s="742">
        <v>38</v>
      </c>
      <c r="J30" s="742">
        <v>23</v>
      </c>
      <c r="K30" s="743">
        <v>0</v>
      </c>
      <c r="L30" s="19"/>
    </row>
    <row r="31" spans="1:12" s="21" customFormat="1" ht="17.25">
      <c r="A31" s="205" t="s">
        <v>72</v>
      </c>
      <c r="B31" s="744">
        <v>1896</v>
      </c>
      <c r="C31" s="746">
        <v>0</v>
      </c>
      <c r="D31" s="746">
        <v>0</v>
      </c>
      <c r="E31" s="746">
        <v>37</v>
      </c>
      <c r="F31" s="746">
        <v>1101</v>
      </c>
      <c r="G31" s="746">
        <v>700</v>
      </c>
      <c r="H31" s="746">
        <v>50</v>
      </c>
      <c r="I31" s="746">
        <v>8</v>
      </c>
      <c r="J31" s="746">
        <v>0</v>
      </c>
      <c r="K31" s="747">
        <v>0</v>
      </c>
      <c r="L31" s="16"/>
    </row>
    <row r="32" spans="1:12" s="12" customFormat="1" ht="18" thickBot="1">
      <c r="A32" s="206" t="s">
        <v>73</v>
      </c>
      <c r="B32" s="748">
        <v>3</v>
      </c>
      <c r="C32" s="750">
        <v>0</v>
      </c>
      <c r="D32" s="750">
        <v>0</v>
      </c>
      <c r="E32" s="750">
        <v>0</v>
      </c>
      <c r="F32" s="750">
        <v>0</v>
      </c>
      <c r="G32" s="750">
        <v>0</v>
      </c>
      <c r="H32" s="750">
        <v>0</v>
      </c>
      <c r="I32" s="750">
        <v>3</v>
      </c>
      <c r="J32" s="750">
        <v>0</v>
      </c>
      <c r="K32" s="751">
        <v>0</v>
      </c>
      <c r="L32" s="16"/>
    </row>
    <row r="33" spans="1:12" s="12" customFormat="1" ht="18" thickTop="1">
      <c r="A33" s="186"/>
      <c r="B33" s="186"/>
      <c r="C33" s="186"/>
      <c r="D33" s="186"/>
      <c r="E33" s="186"/>
      <c r="F33" s="186"/>
      <c r="G33" s="186"/>
      <c r="H33" s="186"/>
      <c r="I33" s="186"/>
      <c r="J33" s="186"/>
      <c r="K33" s="186"/>
      <c r="L33" s="16"/>
    </row>
    <row r="34" spans="1:12" s="12" customFormat="1" ht="17.25">
      <c r="A34" s="186"/>
      <c r="B34" s="186"/>
      <c r="C34" s="186"/>
      <c r="D34" s="186"/>
      <c r="E34" s="186"/>
      <c r="F34" s="186"/>
      <c r="G34" s="186"/>
      <c r="H34" s="186"/>
      <c r="I34" s="186"/>
      <c r="J34" s="186"/>
      <c r="K34" s="186"/>
      <c r="L34" s="16"/>
    </row>
    <row r="35" spans="1:12" s="15" customFormat="1" ht="17.25">
      <c r="A35" s="190" t="s">
        <v>77</v>
      </c>
      <c r="B35" s="186"/>
      <c r="C35" s="186"/>
      <c r="D35" s="186"/>
      <c r="E35" s="186"/>
      <c r="F35" s="186"/>
      <c r="G35" s="186"/>
      <c r="H35" s="186"/>
      <c r="I35" s="186"/>
      <c r="J35" s="186"/>
      <c r="K35" s="186"/>
      <c r="L35" s="16"/>
    </row>
    <row r="36" spans="1:12" s="23" customFormat="1" ht="13.5">
      <c r="A36" s="201" t="s">
        <v>78</v>
      </c>
      <c r="B36" s="201"/>
      <c r="C36" s="201"/>
      <c r="D36" s="201"/>
      <c r="E36" s="201"/>
      <c r="F36" s="201"/>
      <c r="G36" s="201"/>
      <c r="H36" s="201"/>
      <c r="I36" s="201"/>
      <c r="J36" s="201"/>
      <c r="K36" s="201"/>
      <c r="L36" s="22"/>
    </row>
    <row r="37" spans="1:12" ht="20.25" thickBot="1">
      <c r="A37" s="186"/>
      <c r="B37" s="186"/>
      <c r="C37" s="186"/>
      <c r="D37" s="186"/>
      <c r="E37" s="186"/>
      <c r="F37" s="186"/>
      <c r="G37" s="186"/>
      <c r="H37" s="186"/>
      <c r="I37" s="186"/>
      <c r="J37" s="186"/>
      <c r="K37" s="186"/>
    </row>
    <row r="38" spans="1:12" ht="28.5" thickTop="1" thickBot="1">
      <c r="A38" s="191" t="s">
        <v>69</v>
      </c>
      <c r="B38" s="192" t="s">
        <v>1</v>
      </c>
      <c r="C38" s="193" t="s">
        <v>19</v>
      </c>
      <c r="D38" s="194" t="s">
        <v>20</v>
      </c>
      <c r="E38" s="194" t="s">
        <v>21</v>
      </c>
      <c r="F38" s="207" t="s">
        <v>173</v>
      </c>
      <c r="G38" s="207" t="s">
        <v>174</v>
      </c>
      <c r="H38" s="207" t="s">
        <v>175</v>
      </c>
      <c r="I38" s="1158" t="s">
        <v>176</v>
      </c>
      <c r="J38" s="1159"/>
      <c r="K38" s="1159"/>
    </row>
    <row r="39" spans="1:12" ht="19.5">
      <c r="A39" s="203" t="s">
        <v>2</v>
      </c>
      <c r="B39" s="736">
        <v>2522</v>
      </c>
      <c r="C39" s="737">
        <v>1367</v>
      </c>
      <c r="D39" s="738">
        <v>25</v>
      </c>
      <c r="E39" s="738">
        <v>114</v>
      </c>
      <c r="F39" s="738">
        <v>0</v>
      </c>
      <c r="G39" s="738">
        <v>0</v>
      </c>
      <c r="H39" s="738">
        <v>1016</v>
      </c>
      <c r="I39" s="1160"/>
      <c r="J39" s="1161"/>
      <c r="K39" s="1161"/>
    </row>
    <row r="40" spans="1:12" ht="19.5">
      <c r="A40" s="204" t="s">
        <v>71</v>
      </c>
      <c r="B40" s="740">
        <v>71</v>
      </c>
      <c r="C40" s="741">
        <v>40</v>
      </c>
      <c r="D40" s="742">
        <v>3</v>
      </c>
      <c r="E40" s="742">
        <v>28</v>
      </c>
      <c r="F40" s="742">
        <v>0</v>
      </c>
      <c r="G40" s="742">
        <v>0</v>
      </c>
      <c r="H40" s="742">
        <v>0</v>
      </c>
      <c r="I40" s="1132" t="s">
        <v>177</v>
      </c>
      <c r="J40" s="1133"/>
      <c r="K40" s="1133"/>
    </row>
    <row r="41" spans="1:12" ht="19.5">
      <c r="A41" s="205" t="s">
        <v>72</v>
      </c>
      <c r="B41" s="744">
        <v>2446</v>
      </c>
      <c r="C41" s="745">
        <v>1325</v>
      </c>
      <c r="D41" s="746">
        <v>22</v>
      </c>
      <c r="E41" s="746">
        <v>85</v>
      </c>
      <c r="F41" s="746">
        <v>0</v>
      </c>
      <c r="G41" s="746">
        <v>0</v>
      </c>
      <c r="H41" s="746">
        <v>1014</v>
      </c>
      <c r="I41" s="1124" t="s">
        <v>178</v>
      </c>
      <c r="J41" s="1125"/>
      <c r="K41" s="1125"/>
    </row>
    <row r="42" spans="1:12" ht="20.25" thickBot="1">
      <c r="A42" s="206" t="s">
        <v>73</v>
      </c>
      <c r="B42" s="748">
        <v>5</v>
      </c>
      <c r="C42" s="749">
        <v>2</v>
      </c>
      <c r="D42" s="750">
        <v>0</v>
      </c>
      <c r="E42" s="750">
        <v>1</v>
      </c>
      <c r="F42" s="750">
        <v>0</v>
      </c>
      <c r="G42" s="750">
        <v>0</v>
      </c>
      <c r="H42" s="750">
        <v>2</v>
      </c>
      <c r="I42" s="1126" t="s">
        <v>179</v>
      </c>
      <c r="J42" s="1127"/>
      <c r="K42" s="1127"/>
    </row>
    <row r="43" spans="1:12" ht="20.25" thickTop="1">
      <c r="A43" s="208" t="s">
        <v>86</v>
      </c>
      <c r="B43" s="209"/>
      <c r="C43" s="209"/>
      <c r="D43" s="209"/>
      <c r="E43" s="209"/>
      <c r="F43" s="209"/>
      <c r="G43" s="209"/>
      <c r="H43" s="209"/>
      <c r="I43" s="209"/>
      <c r="J43" s="209"/>
      <c r="K43" s="209"/>
    </row>
    <row r="44" spans="1:12" ht="19.5"/>
    <row r="45" spans="1:12" ht="19.5"/>
    <row r="46" spans="1:12" ht="19.5"/>
    <row r="47" spans="1:12" ht="19.5"/>
    <row r="48" spans="1:12" ht="19.5"/>
    <row r="49" ht="19.5"/>
    <row r="50" ht="19.5"/>
  </sheetData>
  <mergeCells count="3">
    <mergeCell ref="A2:K2"/>
    <mergeCell ref="I6:K6"/>
    <mergeCell ref="D3:F3"/>
  </mergeCells>
  <phoneticPr fontId="3" type="noConversion"/>
  <printOptions horizontalCentered="1"/>
  <pageMargins left="0.31496062992125984" right="0.31496062992125984" top="0.94488188976377963" bottom="0.51181102362204722" header="0.70866141732283472" footer="0.31496062992125984"/>
  <pageSetup paperSize="9" scale="67" fitToWidth="0" fitToHeight="0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L50"/>
  <sheetViews>
    <sheetView showGridLines="0" zoomScale="85" zoomScaleNormal="85" zoomScaleSheetLayoutView="70" workbookViewId="0">
      <selection activeCell="B8" sqref="B8:B11"/>
    </sheetView>
  </sheetViews>
  <sheetFormatPr defaultColWidth="16.42578125" defaultRowHeight="39.950000000000003" customHeight="1"/>
  <cols>
    <col min="1" max="1" width="15.5703125" style="7" customWidth="1"/>
    <col min="2" max="2" width="14.42578125" style="7" customWidth="1"/>
    <col min="3" max="6" width="10.42578125" style="7" customWidth="1"/>
    <col min="7" max="7" width="12.140625" style="7" customWidth="1"/>
    <col min="8" max="10" width="10.42578125" style="7" customWidth="1"/>
    <col min="11" max="11" width="16.28515625" style="7" customWidth="1"/>
    <col min="12" max="12" width="1.7109375" style="7" customWidth="1"/>
    <col min="13" max="13" width="7.42578125" style="7" customWidth="1"/>
    <col min="14" max="16384" width="16.42578125" style="7"/>
  </cols>
  <sheetData>
    <row r="1" spans="1:12" s="2" customFormat="1" ht="25.5">
      <c r="A1" s="210"/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1"/>
    </row>
    <row r="2" spans="1:12" s="2" customFormat="1" ht="26.25">
      <c r="A2" s="1335" t="s">
        <v>67</v>
      </c>
      <c r="B2" s="1335"/>
      <c r="C2" s="1335"/>
      <c r="D2" s="1335"/>
      <c r="E2" s="1335"/>
      <c r="F2" s="1335"/>
      <c r="G2" s="1335"/>
      <c r="H2" s="1335"/>
      <c r="I2" s="1335"/>
      <c r="J2" s="1335"/>
      <c r="K2" s="1335"/>
      <c r="L2" s="1"/>
    </row>
    <row r="3" spans="1:12" s="2" customFormat="1" ht="25.5">
      <c r="A3" s="211"/>
      <c r="B3" s="212"/>
      <c r="C3" s="212"/>
      <c r="D3" s="1337" t="s">
        <v>97</v>
      </c>
      <c r="E3" s="1337"/>
      <c r="F3" s="1337"/>
      <c r="G3" s="212"/>
      <c r="H3" s="212"/>
      <c r="I3" s="212"/>
      <c r="J3" s="212"/>
      <c r="K3" s="212"/>
      <c r="L3" s="1"/>
    </row>
    <row r="4" spans="1:12" s="2" customFormat="1" ht="25.5">
      <c r="A4" s="211"/>
      <c r="B4" s="212"/>
      <c r="C4" s="212"/>
      <c r="D4" s="213"/>
      <c r="E4" s="213"/>
      <c r="F4" s="213"/>
      <c r="G4" s="212"/>
      <c r="H4" s="212"/>
      <c r="I4" s="212"/>
      <c r="J4" s="212"/>
      <c r="K4" s="212"/>
      <c r="L4" s="1"/>
    </row>
    <row r="5" spans="1:12" s="2" customFormat="1" ht="25.5">
      <c r="A5" s="214" t="s">
        <v>87</v>
      </c>
      <c r="B5" s="210"/>
      <c r="C5" s="210"/>
      <c r="D5" s="210"/>
      <c r="E5" s="210"/>
      <c r="F5" s="210"/>
      <c r="G5" s="210"/>
      <c r="H5" s="210"/>
      <c r="I5" s="210"/>
      <c r="J5" s="210"/>
      <c r="K5" s="210"/>
      <c r="L5" s="1"/>
    </row>
    <row r="6" spans="1:12" s="4" customFormat="1" ht="21" thickBot="1">
      <c r="A6" s="210"/>
      <c r="B6" s="210"/>
      <c r="C6" s="210"/>
      <c r="D6" s="210"/>
      <c r="E6" s="210"/>
      <c r="F6" s="210"/>
      <c r="G6" s="210"/>
      <c r="H6" s="210"/>
      <c r="I6" s="1336" t="s">
        <v>190</v>
      </c>
      <c r="J6" s="1336"/>
      <c r="K6" s="1336"/>
      <c r="L6" s="3"/>
    </row>
    <row r="7" spans="1:12" s="5" customFormat="1" ht="21.75" thickTop="1" thickBot="1">
      <c r="A7" s="215" t="s">
        <v>69</v>
      </c>
      <c r="B7" s="216" t="s">
        <v>1</v>
      </c>
      <c r="C7" s="218" t="s">
        <v>11</v>
      </c>
      <c r="D7" s="218" t="s">
        <v>12</v>
      </c>
      <c r="E7" s="218" t="s">
        <v>13</v>
      </c>
      <c r="F7" s="218" t="s">
        <v>14</v>
      </c>
      <c r="G7" s="218" t="s">
        <v>15</v>
      </c>
      <c r="H7" s="218" t="s">
        <v>16</v>
      </c>
      <c r="I7" s="218" t="s">
        <v>17</v>
      </c>
      <c r="J7" s="218" t="s">
        <v>18</v>
      </c>
      <c r="K7" s="219" t="s">
        <v>166</v>
      </c>
      <c r="L7" s="6"/>
    </row>
    <row r="8" spans="1:12" ht="19.5">
      <c r="A8" s="220" t="s">
        <v>2</v>
      </c>
      <c r="B8" s="752">
        <v>775</v>
      </c>
      <c r="C8" s="753">
        <v>0</v>
      </c>
      <c r="D8" s="753">
        <v>0</v>
      </c>
      <c r="E8" s="753">
        <v>8</v>
      </c>
      <c r="F8" s="753">
        <v>400</v>
      </c>
      <c r="G8" s="753">
        <v>249</v>
      </c>
      <c r="H8" s="753">
        <v>23</v>
      </c>
      <c r="I8" s="753">
        <v>53</v>
      </c>
      <c r="J8" s="753">
        <v>42</v>
      </c>
      <c r="K8" s="754">
        <v>0</v>
      </c>
      <c r="L8" s="8"/>
    </row>
    <row r="9" spans="1:12" s="10" customFormat="1" ht="17.25">
      <c r="A9" s="221" t="s">
        <v>71</v>
      </c>
      <c r="B9" s="755">
        <v>87</v>
      </c>
      <c r="C9" s="756">
        <v>0</v>
      </c>
      <c r="D9" s="756">
        <v>0</v>
      </c>
      <c r="E9" s="756">
        <v>0</v>
      </c>
      <c r="F9" s="756">
        <v>0</v>
      </c>
      <c r="G9" s="756">
        <v>0</v>
      </c>
      <c r="H9" s="756">
        <v>1</v>
      </c>
      <c r="I9" s="756">
        <v>44</v>
      </c>
      <c r="J9" s="756">
        <v>42</v>
      </c>
      <c r="K9" s="757">
        <v>0</v>
      </c>
      <c r="L9" s="9"/>
    </row>
    <row r="10" spans="1:12" s="12" customFormat="1" ht="17.25">
      <c r="A10" s="222" t="s">
        <v>72</v>
      </c>
      <c r="B10" s="758">
        <v>687</v>
      </c>
      <c r="C10" s="759">
        <v>0</v>
      </c>
      <c r="D10" s="759">
        <v>0</v>
      </c>
      <c r="E10" s="759">
        <v>8</v>
      </c>
      <c r="F10" s="759">
        <v>400</v>
      </c>
      <c r="G10" s="759">
        <v>249</v>
      </c>
      <c r="H10" s="759">
        <v>22</v>
      </c>
      <c r="I10" s="759">
        <v>8</v>
      </c>
      <c r="J10" s="759">
        <v>0</v>
      </c>
      <c r="K10" s="760">
        <v>0</v>
      </c>
      <c r="L10" s="11"/>
    </row>
    <row r="11" spans="1:12" s="12" customFormat="1" ht="18" thickBot="1">
      <c r="A11" s="223" t="s">
        <v>73</v>
      </c>
      <c r="B11" s="761">
        <v>1</v>
      </c>
      <c r="C11" s="762">
        <v>0</v>
      </c>
      <c r="D11" s="762">
        <v>0</v>
      </c>
      <c r="E11" s="762">
        <v>0</v>
      </c>
      <c r="F11" s="762">
        <v>0</v>
      </c>
      <c r="G11" s="762">
        <v>0</v>
      </c>
      <c r="H11" s="762">
        <v>0</v>
      </c>
      <c r="I11" s="762">
        <v>1</v>
      </c>
      <c r="J11" s="762">
        <v>0</v>
      </c>
      <c r="K11" s="763">
        <v>0</v>
      </c>
      <c r="L11" s="11"/>
    </row>
    <row r="12" spans="1:12" s="12" customFormat="1" ht="18" thickTop="1">
      <c r="A12" s="224" t="s">
        <v>74</v>
      </c>
      <c r="B12" s="210"/>
      <c r="C12" s="210"/>
      <c r="D12" s="210"/>
      <c r="E12" s="210"/>
      <c r="F12" s="210"/>
      <c r="G12" s="210"/>
      <c r="H12" s="210"/>
      <c r="I12" s="210"/>
      <c r="J12" s="210"/>
      <c r="K12" s="210"/>
      <c r="L12" s="11"/>
    </row>
    <row r="13" spans="1:12" s="12" customFormat="1" ht="17.25">
      <c r="A13" s="210"/>
      <c r="B13" s="210"/>
      <c r="C13" s="210"/>
      <c r="D13" s="210"/>
      <c r="E13" s="210"/>
      <c r="F13" s="210"/>
      <c r="G13" s="210"/>
      <c r="H13" s="210"/>
      <c r="I13" s="210"/>
      <c r="J13" s="210"/>
      <c r="K13" s="210"/>
      <c r="L13" s="11"/>
    </row>
    <row r="14" spans="1:12" s="13" customFormat="1" ht="16.5">
      <c r="A14" s="210"/>
      <c r="B14" s="210"/>
      <c r="C14" s="210"/>
      <c r="D14" s="210"/>
      <c r="E14" s="210"/>
      <c r="F14" s="210"/>
      <c r="G14" s="210"/>
      <c r="H14" s="210"/>
      <c r="I14" s="210"/>
      <c r="J14" s="210"/>
      <c r="K14" s="210"/>
      <c r="L14" s="14"/>
    </row>
    <row r="15" spans="1:12" s="15" customFormat="1" ht="13.5">
      <c r="A15" s="225" t="s">
        <v>88</v>
      </c>
      <c r="B15" s="225"/>
      <c r="C15" s="225"/>
      <c r="D15" s="225"/>
      <c r="E15" s="225"/>
      <c r="F15" s="225"/>
      <c r="G15" s="225"/>
      <c r="H15" s="225"/>
      <c r="I15" s="225"/>
      <c r="J15" s="225"/>
      <c r="K15" s="225"/>
      <c r="L15" s="16"/>
    </row>
    <row r="16" spans="1:12" s="10" customFormat="1" ht="17.25">
      <c r="A16" s="225" t="s">
        <v>75</v>
      </c>
      <c r="B16" s="225"/>
      <c r="C16" s="225"/>
      <c r="D16" s="225"/>
      <c r="E16" s="225"/>
      <c r="F16" s="225"/>
      <c r="G16" s="225"/>
      <c r="H16" s="225"/>
      <c r="I16" s="225"/>
      <c r="J16" s="225"/>
      <c r="K16" s="225"/>
      <c r="L16" s="9"/>
    </row>
    <row r="17" spans="1:12" s="10" customFormat="1" ht="18" thickBot="1">
      <c r="A17" s="226"/>
      <c r="B17" s="210"/>
      <c r="C17" s="210"/>
      <c r="D17" s="210"/>
      <c r="E17" s="210"/>
      <c r="F17" s="210"/>
      <c r="G17" s="210"/>
      <c r="H17" s="210"/>
      <c r="I17" s="210"/>
      <c r="J17" s="210"/>
      <c r="K17" s="210"/>
      <c r="L17" s="9"/>
    </row>
    <row r="18" spans="1:12" s="12" customFormat="1" ht="18.75" thickTop="1" thickBot="1">
      <c r="A18" s="215" t="s">
        <v>69</v>
      </c>
      <c r="B18" s="216" t="s">
        <v>1</v>
      </c>
      <c r="C18" s="218" t="s">
        <v>11</v>
      </c>
      <c r="D18" s="218" t="s">
        <v>12</v>
      </c>
      <c r="E18" s="218" t="s">
        <v>13</v>
      </c>
      <c r="F18" s="218" t="s">
        <v>14</v>
      </c>
      <c r="G18" s="218" t="s">
        <v>15</v>
      </c>
      <c r="H18" s="218" t="s">
        <v>16</v>
      </c>
      <c r="I18" s="218" t="s">
        <v>17</v>
      </c>
      <c r="J18" s="218" t="s">
        <v>18</v>
      </c>
      <c r="K18" s="1162" t="s">
        <v>166</v>
      </c>
      <c r="L18" s="11"/>
    </row>
    <row r="19" spans="1:12" s="12" customFormat="1" ht="17.25">
      <c r="A19" s="227" t="s">
        <v>2</v>
      </c>
      <c r="B19" s="764">
        <v>365</v>
      </c>
      <c r="C19" s="766">
        <v>0</v>
      </c>
      <c r="D19" s="766">
        <v>0</v>
      </c>
      <c r="E19" s="766">
        <v>3</v>
      </c>
      <c r="F19" s="766">
        <v>181</v>
      </c>
      <c r="G19" s="766">
        <v>97</v>
      </c>
      <c r="H19" s="766">
        <v>9</v>
      </c>
      <c r="I19" s="766">
        <v>43</v>
      </c>
      <c r="J19" s="766">
        <v>32</v>
      </c>
      <c r="K19" s="767">
        <v>0</v>
      </c>
      <c r="L19" s="11"/>
    </row>
    <row r="20" spans="1:12" s="12" customFormat="1" ht="17.25">
      <c r="A20" s="228" t="s">
        <v>71</v>
      </c>
      <c r="B20" s="768">
        <v>72</v>
      </c>
      <c r="C20" s="770">
        <v>0</v>
      </c>
      <c r="D20" s="770">
        <v>0</v>
      </c>
      <c r="E20" s="770">
        <v>0</v>
      </c>
      <c r="F20" s="770">
        <v>0</v>
      </c>
      <c r="G20" s="770">
        <v>0</v>
      </c>
      <c r="H20" s="770">
        <v>1</v>
      </c>
      <c r="I20" s="770">
        <v>39</v>
      </c>
      <c r="J20" s="770">
        <v>32</v>
      </c>
      <c r="K20" s="771">
        <v>0</v>
      </c>
      <c r="L20" s="11"/>
    </row>
    <row r="21" spans="1:12" s="12" customFormat="1" ht="17.25">
      <c r="A21" s="229" t="s">
        <v>72</v>
      </c>
      <c r="B21" s="772">
        <v>292</v>
      </c>
      <c r="C21" s="774">
        <v>0</v>
      </c>
      <c r="D21" s="774">
        <v>0</v>
      </c>
      <c r="E21" s="774">
        <v>3</v>
      </c>
      <c r="F21" s="774">
        <v>181</v>
      </c>
      <c r="G21" s="774">
        <v>97</v>
      </c>
      <c r="H21" s="774">
        <v>8</v>
      </c>
      <c r="I21" s="774">
        <v>3</v>
      </c>
      <c r="J21" s="774">
        <v>0</v>
      </c>
      <c r="K21" s="775">
        <v>0</v>
      </c>
      <c r="L21" s="11"/>
    </row>
    <row r="22" spans="1:12" s="17" customFormat="1" ht="20.25" thickBot="1">
      <c r="A22" s="230" t="s">
        <v>73</v>
      </c>
      <c r="B22" s="776">
        <v>1</v>
      </c>
      <c r="C22" s="778">
        <v>0</v>
      </c>
      <c r="D22" s="778">
        <v>0</v>
      </c>
      <c r="E22" s="778">
        <v>0</v>
      </c>
      <c r="F22" s="778">
        <v>0</v>
      </c>
      <c r="G22" s="778">
        <v>0</v>
      </c>
      <c r="H22" s="778">
        <v>0</v>
      </c>
      <c r="I22" s="778">
        <v>1</v>
      </c>
      <c r="J22" s="778">
        <v>0</v>
      </c>
      <c r="K22" s="779">
        <v>0</v>
      </c>
      <c r="L22" s="8"/>
    </row>
    <row r="23" spans="1:12" s="18" customFormat="1" ht="18" thickTop="1">
      <c r="A23" s="210"/>
      <c r="B23" s="210"/>
      <c r="C23" s="210"/>
      <c r="D23" s="210"/>
      <c r="E23" s="210"/>
      <c r="F23" s="210"/>
      <c r="G23" s="210"/>
      <c r="H23" s="210"/>
      <c r="I23" s="210"/>
      <c r="J23" s="210"/>
      <c r="K23" s="210"/>
      <c r="L23" s="9"/>
    </row>
    <row r="24" spans="1:12" s="10" customFormat="1" ht="17.25">
      <c r="A24" s="210"/>
      <c r="B24" s="210"/>
      <c r="C24" s="210"/>
      <c r="D24" s="210"/>
      <c r="E24" s="210"/>
      <c r="F24" s="210"/>
      <c r="G24" s="210"/>
      <c r="H24" s="210"/>
      <c r="I24" s="210"/>
      <c r="J24" s="210"/>
      <c r="K24" s="210"/>
      <c r="L24" s="9"/>
    </row>
    <row r="25" spans="1:12" s="12" customFormat="1" ht="17.25">
      <c r="A25" s="225" t="s">
        <v>89</v>
      </c>
      <c r="B25" s="225"/>
      <c r="C25" s="225"/>
      <c r="D25" s="225"/>
      <c r="E25" s="225"/>
      <c r="F25" s="225"/>
      <c r="G25" s="225"/>
      <c r="H25" s="225"/>
      <c r="I25" s="225"/>
      <c r="J25" s="225"/>
      <c r="K25" s="225"/>
      <c r="L25" s="11"/>
    </row>
    <row r="26" spans="1:12" s="12" customFormat="1" ht="17.25">
      <c r="A26" s="225" t="s">
        <v>76</v>
      </c>
      <c r="B26" s="225"/>
      <c r="C26" s="225"/>
      <c r="D26" s="225"/>
      <c r="E26" s="225"/>
      <c r="F26" s="225"/>
      <c r="G26" s="225"/>
      <c r="H26" s="225"/>
      <c r="I26" s="225"/>
      <c r="J26" s="225"/>
      <c r="K26" s="225"/>
      <c r="L26" s="11"/>
    </row>
    <row r="27" spans="1:12" s="12" customFormat="1" ht="18" thickBot="1">
      <c r="A27" s="226"/>
      <c r="B27" s="210"/>
      <c r="C27" s="210"/>
      <c r="D27" s="210"/>
      <c r="E27" s="210"/>
      <c r="F27" s="210"/>
      <c r="G27" s="210"/>
      <c r="H27" s="210"/>
      <c r="I27" s="210"/>
      <c r="J27" s="210"/>
      <c r="K27" s="210"/>
      <c r="L27" s="11"/>
    </row>
    <row r="28" spans="1:12" s="12" customFormat="1" ht="18.75" thickTop="1" thickBot="1">
      <c r="A28" s="215" t="s">
        <v>69</v>
      </c>
      <c r="B28" s="216" t="s">
        <v>1</v>
      </c>
      <c r="C28" s="218" t="s">
        <v>11</v>
      </c>
      <c r="D28" s="218" t="s">
        <v>12</v>
      </c>
      <c r="E28" s="218" t="s">
        <v>13</v>
      </c>
      <c r="F28" s="218" t="s">
        <v>14</v>
      </c>
      <c r="G28" s="218" t="s">
        <v>15</v>
      </c>
      <c r="H28" s="218" t="s">
        <v>16</v>
      </c>
      <c r="I28" s="218" t="s">
        <v>17</v>
      </c>
      <c r="J28" s="218" t="s">
        <v>18</v>
      </c>
      <c r="K28" s="1162" t="s">
        <v>166</v>
      </c>
      <c r="L28" s="11"/>
    </row>
    <row r="29" spans="1:12" ht="19.5">
      <c r="A29" s="227" t="s">
        <v>2</v>
      </c>
      <c r="B29" s="764">
        <v>410</v>
      </c>
      <c r="C29" s="766">
        <v>0</v>
      </c>
      <c r="D29" s="766">
        <v>0</v>
      </c>
      <c r="E29" s="766">
        <v>5</v>
      </c>
      <c r="F29" s="766">
        <v>219</v>
      </c>
      <c r="G29" s="766">
        <v>152</v>
      </c>
      <c r="H29" s="766">
        <v>14</v>
      </c>
      <c r="I29" s="766">
        <v>10</v>
      </c>
      <c r="J29" s="766">
        <v>10</v>
      </c>
      <c r="K29" s="767">
        <v>0</v>
      </c>
      <c r="L29" s="8"/>
    </row>
    <row r="30" spans="1:12" s="20" customFormat="1" ht="19.5">
      <c r="A30" s="228" t="s">
        <v>71</v>
      </c>
      <c r="B30" s="768">
        <v>15</v>
      </c>
      <c r="C30" s="770">
        <v>0</v>
      </c>
      <c r="D30" s="770">
        <v>0</v>
      </c>
      <c r="E30" s="770">
        <v>0</v>
      </c>
      <c r="F30" s="770">
        <v>0</v>
      </c>
      <c r="G30" s="770">
        <v>0</v>
      </c>
      <c r="H30" s="770">
        <v>0</v>
      </c>
      <c r="I30" s="770">
        <v>5</v>
      </c>
      <c r="J30" s="770">
        <v>10</v>
      </c>
      <c r="K30" s="771">
        <v>0</v>
      </c>
      <c r="L30" s="19"/>
    </row>
    <row r="31" spans="1:12" s="21" customFormat="1" ht="17.25">
      <c r="A31" s="229" t="s">
        <v>72</v>
      </c>
      <c r="B31" s="772">
        <v>395</v>
      </c>
      <c r="C31" s="774">
        <v>0</v>
      </c>
      <c r="D31" s="774">
        <v>0</v>
      </c>
      <c r="E31" s="774">
        <v>5</v>
      </c>
      <c r="F31" s="774">
        <v>219</v>
      </c>
      <c r="G31" s="774">
        <v>152</v>
      </c>
      <c r="H31" s="774">
        <v>14</v>
      </c>
      <c r="I31" s="774">
        <v>5</v>
      </c>
      <c r="J31" s="774">
        <v>0</v>
      </c>
      <c r="K31" s="775">
        <v>0</v>
      </c>
      <c r="L31" s="16"/>
    </row>
    <row r="32" spans="1:12" s="12" customFormat="1" ht="18" thickBot="1">
      <c r="A32" s="230" t="s">
        <v>73</v>
      </c>
      <c r="B32" s="776">
        <v>0</v>
      </c>
      <c r="C32" s="778">
        <v>0</v>
      </c>
      <c r="D32" s="778">
        <v>0</v>
      </c>
      <c r="E32" s="778">
        <v>0</v>
      </c>
      <c r="F32" s="778">
        <v>0</v>
      </c>
      <c r="G32" s="778">
        <v>0</v>
      </c>
      <c r="H32" s="778">
        <v>0</v>
      </c>
      <c r="I32" s="778">
        <v>0</v>
      </c>
      <c r="J32" s="778">
        <v>0</v>
      </c>
      <c r="K32" s="779">
        <v>0</v>
      </c>
      <c r="L32" s="16"/>
    </row>
    <row r="33" spans="1:12" s="12" customFormat="1" ht="18" thickTop="1">
      <c r="A33" s="210"/>
      <c r="B33" s="210"/>
      <c r="C33" s="210"/>
      <c r="D33" s="210"/>
      <c r="E33" s="210"/>
      <c r="F33" s="210"/>
      <c r="G33" s="210"/>
      <c r="H33" s="210"/>
      <c r="I33" s="210"/>
      <c r="J33" s="210"/>
      <c r="K33" s="210"/>
      <c r="L33" s="16"/>
    </row>
    <row r="34" spans="1:12" s="12" customFormat="1" ht="17.25">
      <c r="A34" s="210"/>
      <c r="B34" s="210"/>
      <c r="C34" s="210"/>
      <c r="D34" s="210"/>
      <c r="E34" s="210"/>
      <c r="F34" s="210"/>
      <c r="G34" s="210"/>
      <c r="H34" s="210"/>
      <c r="I34" s="210"/>
      <c r="J34" s="210"/>
      <c r="K34" s="210"/>
      <c r="L34" s="16"/>
    </row>
    <row r="35" spans="1:12" s="15" customFormat="1" ht="17.25">
      <c r="A35" s="214" t="s">
        <v>77</v>
      </c>
      <c r="B35" s="210"/>
      <c r="C35" s="210"/>
      <c r="D35" s="210"/>
      <c r="E35" s="210"/>
      <c r="F35" s="210"/>
      <c r="G35" s="210"/>
      <c r="H35" s="210"/>
      <c r="I35" s="210"/>
      <c r="J35" s="210"/>
      <c r="K35" s="210"/>
      <c r="L35" s="16"/>
    </row>
    <row r="36" spans="1:12" s="23" customFormat="1" ht="13.5">
      <c r="A36" s="225" t="s">
        <v>78</v>
      </c>
      <c r="B36" s="225"/>
      <c r="C36" s="225"/>
      <c r="D36" s="225"/>
      <c r="E36" s="225"/>
      <c r="F36" s="225"/>
      <c r="G36" s="225"/>
      <c r="H36" s="225"/>
      <c r="I36" s="225"/>
      <c r="J36" s="225"/>
      <c r="K36" s="225"/>
      <c r="L36" s="22"/>
    </row>
    <row r="37" spans="1:12" ht="20.25" thickBot="1">
      <c r="A37" s="210"/>
      <c r="B37" s="210"/>
      <c r="C37" s="210"/>
      <c r="D37" s="210"/>
      <c r="E37" s="210"/>
      <c r="F37" s="210"/>
      <c r="G37" s="210"/>
      <c r="H37" s="210"/>
      <c r="I37" s="210"/>
      <c r="J37" s="210"/>
      <c r="K37" s="210"/>
    </row>
    <row r="38" spans="1:12" ht="28.5" thickTop="1" thickBot="1">
      <c r="A38" s="215" t="s">
        <v>69</v>
      </c>
      <c r="B38" s="216" t="s">
        <v>1</v>
      </c>
      <c r="C38" s="217" t="s">
        <v>19</v>
      </c>
      <c r="D38" s="218" t="s">
        <v>20</v>
      </c>
      <c r="E38" s="218" t="s">
        <v>21</v>
      </c>
      <c r="F38" s="231" t="s">
        <v>173</v>
      </c>
      <c r="G38" s="231" t="s">
        <v>174</v>
      </c>
      <c r="H38" s="231" t="s">
        <v>175</v>
      </c>
      <c r="I38" s="1162" t="s">
        <v>176</v>
      </c>
      <c r="J38" s="1163"/>
      <c r="K38" s="1163"/>
    </row>
    <row r="39" spans="1:12" ht="19.5">
      <c r="A39" s="227" t="s">
        <v>2</v>
      </c>
      <c r="B39" s="764">
        <v>540</v>
      </c>
      <c r="C39" s="765">
        <v>261</v>
      </c>
      <c r="D39" s="766">
        <v>10</v>
      </c>
      <c r="E39" s="766">
        <v>43</v>
      </c>
      <c r="F39" s="766">
        <v>0</v>
      </c>
      <c r="G39" s="766">
        <v>0</v>
      </c>
      <c r="H39" s="766">
        <v>226</v>
      </c>
      <c r="I39" s="1164"/>
      <c r="J39" s="1165"/>
      <c r="K39" s="1165"/>
    </row>
    <row r="40" spans="1:12" ht="19.5">
      <c r="A40" s="228" t="s">
        <v>71</v>
      </c>
      <c r="B40" s="768">
        <v>17</v>
      </c>
      <c r="C40" s="769">
        <v>10</v>
      </c>
      <c r="D40" s="770">
        <v>1</v>
      </c>
      <c r="E40" s="770">
        <v>6</v>
      </c>
      <c r="F40" s="770">
        <v>0</v>
      </c>
      <c r="G40" s="770">
        <v>0</v>
      </c>
      <c r="H40" s="770">
        <v>0</v>
      </c>
      <c r="I40" s="1132" t="s">
        <v>177</v>
      </c>
      <c r="J40" s="1133"/>
      <c r="K40" s="1133"/>
    </row>
    <row r="41" spans="1:12" ht="19.5">
      <c r="A41" s="229" t="s">
        <v>72</v>
      </c>
      <c r="B41" s="772">
        <v>523</v>
      </c>
      <c r="C41" s="773">
        <v>251</v>
      </c>
      <c r="D41" s="774">
        <v>9</v>
      </c>
      <c r="E41" s="774">
        <v>37</v>
      </c>
      <c r="F41" s="774">
        <v>0</v>
      </c>
      <c r="G41" s="774">
        <v>0</v>
      </c>
      <c r="H41" s="774">
        <v>226</v>
      </c>
      <c r="I41" s="1124" t="s">
        <v>178</v>
      </c>
      <c r="J41" s="1125"/>
      <c r="K41" s="1125"/>
    </row>
    <row r="42" spans="1:12" ht="20.25" thickBot="1">
      <c r="A42" s="230" t="s">
        <v>73</v>
      </c>
      <c r="B42" s="776">
        <v>0</v>
      </c>
      <c r="C42" s="777">
        <v>0</v>
      </c>
      <c r="D42" s="778">
        <v>0</v>
      </c>
      <c r="E42" s="778">
        <v>0</v>
      </c>
      <c r="F42" s="778">
        <v>0</v>
      </c>
      <c r="G42" s="778">
        <v>0</v>
      </c>
      <c r="H42" s="778">
        <v>0</v>
      </c>
      <c r="I42" s="1126" t="s">
        <v>179</v>
      </c>
      <c r="J42" s="1127"/>
      <c r="K42" s="1127"/>
    </row>
    <row r="43" spans="1:12" ht="20.25" thickTop="1">
      <c r="A43" s="232" t="s">
        <v>86</v>
      </c>
      <c r="B43" s="233"/>
      <c r="C43" s="233"/>
      <c r="D43" s="233"/>
      <c r="E43" s="233"/>
      <c r="F43" s="233"/>
      <c r="G43" s="233"/>
      <c r="H43" s="233"/>
      <c r="I43" s="233"/>
      <c r="J43" s="233"/>
      <c r="K43" s="233"/>
    </row>
    <row r="44" spans="1:12" ht="19.5"/>
    <row r="45" spans="1:12" ht="19.5"/>
    <row r="46" spans="1:12" ht="19.5"/>
    <row r="47" spans="1:12" ht="19.5"/>
    <row r="48" spans="1:12" ht="19.5"/>
    <row r="49" ht="19.5"/>
    <row r="50" ht="19.5"/>
  </sheetData>
  <mergeCells count="3">
    <mergeCell ref="A2:K2"/>
    <mergeCell ref="I6:K6"/>
    <mergeCell ref="D3:F3"/>
  </mergeCells>
  <phoneticPr fontId="3" type="noConversion"/>
  <printOptions horizontalCentered="1"/>
  <pageMargins left="0.31496062992125984" right="0.31496062992125984" top="0.94488188976377963" bottom="0.51181102362204722" header="0.70866141732283472" footer="0.31496062992125984"/>
  <pageSetup paperSize="9" scale="67" fitToWidth="0" fitToHeight="0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L50"/>
  <sheetViews>
    <sheetView showGridLines="0" zoomScale="85" zoomScaleNormal="85" zoomScaleSheetLayoutView="70" workbookViewId="0">
      <selection activeCell="B8" sqref="B8:B11"/>
    </sheetView>
  </sheetViews>
  <sheetFormatPr defaultColWidth="16.42578125" defaultRowHeight="39.950000000000003" customHeight="1"/>
  <cols>
    <col min="1" max="1" width="15.5703125" style="7" customWidth="1"/>
    <col min="2" max="2" width="14.42578125" style="7" customWidth="1"/>
    <col min="3" max="6" width="10.42578125" style="7" customWidth="1"/>
    <col min="7" max="7" width="12.140625" style="7" customWidth="1"/>
    <col min="8" max="10" width="10.42578125" style="7" customWidth="1"/>
    <col min="11" max="11" width="16.28515625" style="7" customWidth="1"/>
    <col min="12" max="12" width="1.5703125" style="7" customWidth="1"/>
    <col min="13" max="16384" width="16.42578125" style="7"/>
  </cols>
  <sheetData>
    <row r="1" spans="1:12" s="2" customFormat="1" ht="25.5">
      <c r="A1" s="234"/>
      <c r="B1" s="234"/>
      <c r="C1" s="234"/>
      <c r="D1" s="234"/>
      <c r="E1" s="234"/>
      <c r="F1" s="234"/>
      <c r="G1" s="234"/>
      <c r="H1" s="234"/>
      <c r="I1" s="234"/>
      <c r="J1" s="234"/>
      <c r="K1" s="234"/>
      <c r="L1" s="1"/>
    </row>
    <row r="2" spans="1:12" s="2" customFormat="1" ht="26.25">
      <c r="A2" s="1338" t="s">
        <v>67</v>
      </c>
      <c r="B2" s="1338"/>
      <c r="C2" s="1338"/>
      <c r="D2" s="1338"/>
      <c r="E2" s="1338"/>
      <c r="F2" s="1338"/>
      <c r="G2" s="1338"/>
      <c r="H2" s="1338"/>
      <c r="I2" s="1338"/>
      <c r="J2" s="1338"/>
      <c r="K2" s="1338"/>
      <c r="L2" s="1"/>
    </row>
    <row r="3" spans="1:12" s="2" customFormat="1" ht="25.5">
      <c r="A3" s="235"/>
      <c r="B3" s="236"/>
      <c r="C3" s="236"/>
      <c r="D3" s="1340" t="s">
        <v>98</v>
      </c>
      <c r="E3" s="1340"/>
      <c r="F3" s="1340"/>
      <c r="G3" s="236"/>
      <c r="H3" s="236"/>
      <c r="I3" s="236"/>
      <c r="J3" s="236"/>
      <c r="K3" s="236"/>
      <c r="L3" s="1"/>
    </row>
    <row r="4" spans="1:12" s="2" customFormat="1" ht="25.5">
      <c r="A4" s="235"/>
      <c r="B4" s="236"/>
      <c r="C4" s="236"/>
      <c r="D4" s="237"/>
      <c r="E4" s="237"/>
      <c r="F4" s="237"/>
      <c r="G4" s="236"/>
      <c r="H4" s="236"/>
      <c r="I4" s="236"/>
      <c r="J4" s="236"/>
      <c r="K4" s="236"/>
      <c r="L4" s="1"/>
    </row>
    <row r="5" spans="1:12" s="2" customFormat="1" ht="25.5">
      <c r="A5" s="238" t="s">
        <v>87</v>
      </c>
      <c r="B5" s="234"/>
      <c r="C5" s="234"/>
      <c r="D5" s="234"/>
      <c r="E5" s="234"/>
      <c r="F5" s="234"/>
      <c r="G5" s="234"/>
      <c r="H5" s="234"/>
      <c r="I5" s="234"/>
      <c r="J5" s="234"/>
      <c r="K5" s="234"/>
      <c r="L5" s="1"/>
    </row>
    <row r="6" spans="1:12" s="4" customFormat="1" ht="21" thickBot="1">
      <c r="A6" s="234"/>
      <c r="B6" s="234"/>
      <c r="C6" s="234"/>
      <c r="D6" s="234"/>
      <c r="E6" s="234"/>
      <c r="F6" s="234"/>
      <c r="G6" s="234"/>
      <c r="H6" s="234"/>
      <c r="I6" s="1339" t="s">
        <v>191</v>
      </c>
      <c r="J6" s="1339"/>
      <c r="K6" s="1339"/>
      <c r="L6" s="3"/>
    </row>
    <row r="7" spans="1:12" s="5" customFormat="1" ht="21.75" thickTop="1" thickBot="1">
      <c r="A7" s="239" t="s">
        <v>69</v>
      </c>
      <c r="B7" s="240" t="s">
        <v>1</v>
      </c>
      <c r="C7" s="242" t="s">
        <v>11</v>
      </c>
      <c r="D7" s="242" t="s">
        <v>12</v>
      </c>
      <c r="E7" s="242" t="s">
        <v>13</v>
      </c>
      <c r="F7" s="242" t="s">
        <v>14</v>
      </c>
      <c r="G7" s="242" t="s">
        <v>15</v>
      </c>
      <c r="H7" s="242" t="s">
        <v>16</v>
      </c>
      <c r="I7" s="242" t="s">
        <v>17</v>
      </c>
      <c r="J7" s="242" t="s">
        <v>18</v>
      </c>
      <c r="K7" s="243" t="s">
        <v>166</v>
      </c>
      <c r="L7" s="6"/>
    </row>
    <row r="8" spans="1:12" ht="19.5">
      <c r="A8" s="244" t="s">
        <v>2</v>
      </c>
      <c r="B8" s="1100">
        <v>42573</v>
      </c>
      <c r="C8" s="1113">
        <v>0</v>
      </c>
      <c r="D8" s="1113">
        <v>0</v>
      </c>
      <c r="E8" s="1116">
        <v>418</v>
      </c>
      <c r="F8" s="1116">
        <v>19401</v>
      </c>
      <c r="G8" s="1116">
        <v>14124</v>
      </c>
      <c r="H8" s="1116">
        <v>2299</v>
      </c>
      <c r="I8" s="1116">
        <v>4228</v>
      </c>
      <c r="J8" s="1116">
        <v>1935</v>
      </c>
      <c r="K8" s="1120">
        <v>168</v>
      </c>
      <c r="L8" s="8"/>
    </row>
    <row r="9" spans="1:12" s="10" customFormat="1" ht="17.25">
      <c r="A9" s="245" t="s">
        <v>71</v>
      </c>
      <c r="B9" s="1101">
        <v>5936</v>
      </c>
      <c r="C9" s="1109">
        <v>0</v>
      </c>
      <c r="D9" s="1109">
        <v>0</v>
      </c>
      <c r="E9" s="1109">
        <v>0</v>
      </c>
      <c r="F9" s="1109">
        <v>0</v>
      </c>
      <c r="G9" s="1109">
        <v>0</v>
      </c>
      <c r="H9" s="1117">
        <v>290</v>
      </c>
      <c r="I9" s="1117">
        <v>3614</v>
      </c>
      <c r="J9" s="1117">
        <v>1864</v>
      </c>
      <c r="K9" s="1109">
        <v>168</v>
      </c>
      <c r="L9" s="9"/>
    </row>
    <row r="10" spans="1:12" s="12" customFormat="1" ht="17.25">
      <c r="A10" s="246" t="s">
        <v>72</v>
      </c>
      <c r="B10" s="1102">
        <v>36351</v>
      </c>
      <c r="C10" s="1109">
        <v>0</v>
      </c>
      <c r="D10" s="1109">
        <v>0</v>
      </c>
      <c r="E10" s="1117">
        <v>418</v>
      </c>
      <c r="F10" s="1117">
        <v>19401</v>
      </c>
      <c r="G10" s="1117">
        <v>14124</v>
      </c>
      <c r="H10" s="1117">
        <v>2008</v>
      </c>
      <c r="I10" s="1109">
        <v>394</v>
      </c>
      <c r="J10" s="1109">
        <v>6</v>
      </c>
      <c r="K10" s="1109">
        <v>0</v>
      </c>
      <c r="L10" s="11"/>
    </row>
    <row r="11" spans="1:12" s="12" customFormat="1" ht="18" thickBot="1">
      <c r="A11" s="247" t="s">
        <v>73</v>
      </c>
      <c r="B11" s="1123">
        <v>286</v>
      </c>
      <c r="C11" s="1110">
        <v>0</v>
      </c>
      <c r="D11" s="1110">
        <v>0</v>
      </c>
      <c r="E11" s="1110">
        <v>0</v>
      </c>
      <c r="F11" s="1110">
        <v>0</v>
      </c>
      <c r="G11" s="1110">
        <v>0</v>
      </c>
      <c r="H11" s="1110">
        <v>1</v>
      </c>
      <c r="I11" s="1110">
        <v>220</v>
      </c>
      <c r="J11" s="1110">
        <v>65</v>
      </c>
      <c r="K11" s="1110">
        <v>0</v>
      </c>
      <c r="L11" s="11"/>
    </row>
    <row r="12" spans="1:12" s="12" customFormat="1" ht="18" thickTop="1">
      <c r="A12" s="248" t="s">
        <v>74</v>
      </c>
      <c r="B12" s="1103"/>
      <c r="C12" s="1103"/>
      <c r="D12" s="1103"/>
      <c r="E12" s="1103"/>
      <c r="F12" s="1103"/>
      <c r="G12" s="1103"/>
      <c r="H12" s="1103"/>
      <c r="I12" s="1103"/>
      <c r="J12" s="1103"/>
      <c r="K12" s="1103"/>
      <c r="L12" s="11"/>
    </row>
    <row r="13" spans="1:12" s="12" customFormat="1" ht="17.25">
      <c r="A13" s="234"/>
      <c r="B13" s="1103"/>
      <c r="C13" s="1103"/>
      <c r="D13" s="1103"/>
      <c r="E13" s="1103"/>
      <c r="F13" s="1103"/>
      <c r="G13" s="1103"/>
      <c r="H13" s="1103"/>
      <c r="I13" s="1103"/>
      <c r="J13" s="1103"/>
      <c r="K13" s="1103"/>
      <c r="L13" s="11"/>
    </row>
    <row r="14" spans="1:12" s="13" customFormat="1" ht="16.5">
      <c r="A14" s="234"/>
      <c r="B14" s="1103"/>
      <c r="C14" s="1103"/>
      <c r="D14" s="1103"/>
      <c r="E14" s="1103"/>
      <c r="F14" s="1103"/>
      <c r="G14" s="1103"/>
      <c r="H14" s="1103"/>
      <c r="I14" s="1103"/>
      <c r="J14" s="1103"/>
      <c r="K14" s="1103"/>
      <c r="L14" s="14"/>
    </row>
    <row r="15" spans="1:12" s="15" customFormat="1" ht="13.5">
      <c r="A15" s="249" t="s">
        <v>88</v>
      </c>
      <c r="B15" s="1103"/>
      <c r="C15" s="1103"/>
      <c r="D15" s="1103"/>
      <c r="E15" s="1103"/>
      <c r="F15" s="1103"/>
      <c r="G15" s="1103"/>
      <c r="H15" s="1103"/>
      <c r="I15" s="1103"/>
      <c r="J15" s="1103"/>
      <c r="K15" s="1103"/>
      <c r="L15" s="16"/>
    </row>
    <row r="16" spans="1:12" s="10" customFormat="1" ht="17.25">
      <c r="A16" s="249" t="s">
        <v>75</v>
      </c>
      <c r="B16" s="1103"/>
      <c r="C16" s="1103"/>
      <c r="D16" s="1103"/>
      <c r="E16" s="1103"/>
      <c r="F16" s="1103"/>
      <c r="G16" s="1103"/>
      <c r="H16" s="1103"/>
      <c r="I16" s="1103"/>
      <c r="J16" s="1103"/>
      <c r="K16" s="1103"/>
      <c r="L16" s="9"/>
    </row>
    <row r="17" spans="1:12" s="10" customFormat="1" ht="18" thickBot="1">
      <c r="A17" s="250"/>
      <c r="B17" s="1103"/>
      <c r="C17" s="1103"/>
      <c r="D17" s="1103"/>
      <c r="E17" s="1103"/>
      <c r="F17" s="1103"/>
      <c r="G17" s="1103"/>
      <c r="H17" s="1103"/>
      <c r="I17" s="1103"/>
      <c r="J17" s="1103"/>
      <c r="K17" s="1103"/>
      <c r="L17" s="9"/>
    </row>
    <row r="18" spans="1:12" s="12" customFormat="1" ht="18.75" thickTop="1" thickBot="1">
      <c r="A18" s="239" t="s">
        <v>69</v>
      </c>
      <c r="B18" s="1104" t="s">
        <v>1</v>
      </c>
      <c r="C18" s="1114" t="s">
        <v>11</v>
      </c>
      <c r="D18" s="1114" t="s">
        <v>12</v>
      </c>
      <c r="E18" s="1114" t="s">
        <v>13</v>
      </c>
      <c r="F18" s="1114" t="s">
        <v>14</v>
      </c>
      <c r="G18" s="1114" t="s">
        <v>15</v>
      </c>
      <c r="H18" s="1114" t="s">
        <v>16</v>
      </c>
      <c r="I18" s="1114" t="s">
        <v>17</v>
      </c>
      <c r="J18" s="1114" t="s">
        <v>18</v>
      </c>
      <c r="K18" s="1121" t="s">
        <v>166</v>
      </c>
      <c r="L18" s="11"/>
    </row>
    <row r="19" spans="1:12" s="12" customFormat="1" ht="17.25">
      <c r="A19" s="251" t="s">
        <v>2</v>
      </c>
      <c r="B19" s="1105">
        <v>24453</v>
      </c>
      <c r="C19" s="1115">
        <v>0</v>
      </c>
      <c r="D19" s="1115">
        <v>0</v>
      </c>
      <c r="E19" s="1118">
        <v>242</v>
      </c>
      <c r="F19" s="1118">
        <v>10860</v>
      </c>
      <c r="G19" s="1118">
        <v>7321</v>
      </c>
      <c r="H19" s="1118">
        <v>1197</v>
      </c>
      <c r="I19" s="1118">
        <v>3282</v>
      </c>
      <c r="J19" s="1118">
        <v>1420</v>
      </c>
      <c r="K19" s="1122">
        <v>131</v>
      </c>
      <c r="L19" s="11"/>
    </row>
    <row r="20" spans="1:12" s="12" customFormat="1" ht="17.25">
      <c r="A20" s="252" t="s">
        <v>71</v>
      </c>
      <c r="B20" s="1106">
        <v>4804</v>
      </c>
      <c r="C20" s="1111">
        <v>0</v>
      </c>
      <c r="D20" s="1111">
        <v>0</v>
      </c>
      <c r="E20" s="1111">
        <v>0</v>
      </c>
      <c r="F20" s="1111">
        <v>0</v>
      </c>
      <c r="G20" s="1111">
        <v>0</v>
      </c>
      <c r="H20" s="1119">
        <v>280</v>
      </c>
      <c r="I20" s="1119">
        <v>2997</v>
      </c>
      <c r="J20" s="1119">
        <v>1396</v>
      </c>
      <c r="K20" s="1111">
        <v>131</v>
      </c>
      <c r="L20" s="11"/>
    </row>
    <row r="21" spans="1:12" s="12" customFormat="1" ht="17.25">
      <c r="A21" s="253" t="s">
        <v>72</v>
      </c>
      <c r="B21" s="1107">
        <v>19553</v>
      </c>
      <c r="C21" s="1111">
        <v>0</v>
      </c>
      <c r="D21" s="1111">
        <v>0</v>
      </c>
      <c r="E21" s="1119">
        <v>242</v>
      </c>
      <c r="F21" s="1119">
        <v>10860</v>
      </c>
      <c r="G21" s="1119">
        <v>7321</v>
      </c>
      <c r="H21" s="1111">
        <v>917</v>
      </c>
      <c r="I21" s="1111">
        <v>210</v>
      </c>
      <c r="J21" s="1111">
        <v>3</v>
      </c>
      <c r="K21" s="1111">
        <v>0</v>
      </c>
      <c r="L21" s="11"/>
    </row>
    <row r="22" spans="1:12" s="17" customFormat="1" ht="20.25" thickBot="1">
      <c r="A22" s="254" t="s">
        <v>73</v>
      </c>
      <c r="B22" s="1108">
        <v>96</v>
      </c>
      <c r="C22" s="1112">
        <v>0</v>
      </c>
      <c r="D22" s="1112">
        <v>0</v>
      </c>
      <c r="E22" s="1112">
        <v>0</v>
      </c>
      <c r="F22" s="1112">
        <v>0</v>
      </c>
      <c r="G22" s="1112">
        <v>0</v>
      </c>
      <c r="H22" s="1112">
        <v>0</v>
      </c>
      <c r="I22" s="1112">
        <v>75</v>
      </c>
      <c r="J22" s="1112">
        <v>21</v>
      </c>
      <c r="K22" s="1112">
        <v>0</v>
      </c>
      <c r="L22" s="8"/>
    </row>
    <row r="23" spans="1:12" s="18" customFormat="1" ht="18" thickTop="1">
      <c r="A23" s="234"/>
      <c r="B23" s="1103"/>
      <c r="C23" s="1103"/>
      <c r="D23" s="1103"/>
      <c r="E23" s="1103"/>
      <c r="F23" s="1103"/>
      <c r="G23" s="1103"/>
      <c r="H23" s="1103"/>
      <c r="I23" s="1103"/>
      <c r="J23" s="1103"/>
      <c r="K23" s="1103"/>
      <c r="L23" s="9"/>
    </row>
    <row r="24" spans="1:12" s="10" customFormat="1" ht="17.25">
      <c r="A24" s="234"/>
      <c r="B24" s="1103"/>
      <c r="C24" s="1103"/>
      <c r="D24" s="1103"/>
      <c r="E24" s="1103"/>
      <c r="F24" s="1103"/>
      <c r="G24" s="1103"/>
      <c r="H24" s="1103"/>
      <c r="I24" s="1103"/>
      <c r="J24" s="1103"/>
      <c r="K24" s="1103"/>
      <c r="L24" s="9"/>
    </row>
    <row r="25" spans="1:12" s="12" customFormat="1" ht="17.25">
      <c r="A25" s="249" t="s">
        <v>89</v>
      </c>
      <c r="B25" s="1103"/>
      <c r="C25" s="1103"/>
      <c r="D25" s="1103"/>
      <c r="E25" s="1103"/>
      <c r="F25" s="1103"/>
      <c r="G25" s="1103"/>
      <c r="H25" s="1103"/>
      <c r="I25" s="1103"/>
      <c r="J25" s="1103"/>
      <c r="K25" s="1103"/>
      <c r="L25" s="11"/>
    </row>
    <row r="26" spans="1:12" s="12" customFormat="1" ht="17.25">
      <c r="A26" s="249" t="s">
        <v>76</v>
      </c>
      <c r="B26" s="1103"/>
      <c r="C26" s="1103"/>
      <c r="D26" s="1103"/>
      <c r="E26" s="1103"/>
      <c r="F26" s="1103"/>
      <c r="G26" s="1103"/>
      <c r="H26" s="1103"/>
      <c r="I26" s="1103"/>
      <c r="J26" s="1103"/>
      <c r="K26" s="1103"/>
      <c r="L26" s="11"/>
    </row>
    <row r="27" spans="1:12" s="12" customFormat="1" ht="18" thickBot="1">
      <c r="A27" s="250"/>
      <c r="B27" s="1103"/>
      <c r="C27" s="1103"/>
      <c r="D27" s="1103"/>
      <c r="E27" s="1103"/>
      <c r="F27" s="1103"/>
      <c r="G27" s="1103"/>
      <c r="H27" s="1103"/>
      <c r="I27" s="1103"/>
      <c r="J27" s="1103"/>
      <c r="K27" s="1103"/>
      <c r="L27" s="11"/>
    </row>
    <row r="28" spans="1:12" s="12" customFormat="1" ht="18.75" thickTop="1" thickBot="1">
      <c r="A28" s="239" t="s">
        <v>69</v>
      </c>
      <c r="B28" s="1104" t="s">
        <v>1</v>
      </c>
      <c r="C28" s="1114" t="s">
        <v>11</v>
      </c>
      <c r="D28" s="1114" t="s">
        <v>12</v>
      </c>
      <c r="E28" s="1114" t="s">
        <v>13</v>
      </c>
      <c r="F28" s="1114" t="s">
        <v>14</v>
      </c>
      <c r="G28" s="1114" t="s">
        <v>15</v>
      </c>
      <c r="H28" s="1114" t="s">
        <v>16</v>
      </c>
      <c r="I28" s="1114" t="s">
        <v>17</v>
      </c>
      <c r="J28" s="1114" t="s">
        <v>18</v>
      </c>
      <c r="K28" s="1121" t="s">
        <v>166</v>
      </c>
      <c r="L28" s="11"/>
    </row>
    <row r="29" spans="1:12" ht="19.5">
      <c r="A29" s="251" t="s">
        <v>2</v>
      </c>
      <c r="B29" s="1105">
        <v>18120</v>
      </c>
      <c r="C29" s="1115">
        <v>0</v>
      </c>
      <c r="D29" s="1115">
        <v>0</v>
      </c>
      <c r="E29" s="1118">
        <v>176</v>
      </c>
      <c r="F29" s="1118">
        <v>8541</v>
      </c>
      <c r="G29" s="1118">
        <v>6803</v>
      </c>
      <c r="H29" s="1118">
        <v>1102</v>
      </c>
      <c r="I29" s="1118">
        <v>946</v>
      </c>
      <c r="J29" s="1115">
        <v>515</v>
      </c>
      <c r="K29" s="1122">
        <v>37</v>
      </c>
      <c r="L29" s="8"/>
    </row>
    <row r="30" spans="1:12" s="20" customFormat="1" ht="19.5">
      <c r="A30" s="252" t="s">
        <v>71</v>
      </c>
      <c r="B30" s="1106">
        <v>1132</v>
      </c>
      <c r="C30" s="1111">
        <v>0</v>
      </c>
      <c r="D30" s="1111">
        <v>0</v>
      </c>
      <c r="E30" s="1111">
        <v>0</v>
      </c>
      <c r="F30" s="1111">
        <v>0</v>
      </c>
      <c r="G30" s="1111">
        <v>0</v>
      </c>
      <c r="H30" s="1111">
        <v>10</v>
      </c>
      <c r="I30" s="1119">
        <v>617</v>
      </c>
      <c r="J30" s="1111">
        <v>468</v>
      </c>
      <c r="K30" s="1111">
        <v>37</v>
      </c>
      <c r="L30" s="19"/>
    </row>
    <row r="31" spans="1:12" s="21" customFormat="1" ht="17.25">
      <c r="A31" s="253" t="s">
        <v>72</v>
      </c>
      <c r="B31" s="1107">
        <v>16798</v>
      </c>
      <c r="C31" s="1111">
        <v>0</v>
      </c>
      <c r="D31" s="1111">
        <v>0</v>
      </c>
      <c r="E31" s="1119">
        <v>176</v>
      </c>
      <c r="F31" s="1119">
        <v>8541</v>
      </c>
      <c r="G31" s="1119">
        <v>6803</v>
      </c>
      <c r="H31" s="1119">
        <v>1091</v>
      </c>
      <c r="I31" s="1111">
        <v>184</v>
      </c>
      <c r="J31" s="1111">
        <v>3</v>
      </c>
      <c r="K31" s="1111">
        <v>0</v>
      </c>
      <c r="L31" s="16"/>
    </row>
    <row r="32" spans="1:12" s="12" customFormat="1" ht="18" thickBot="1">
      <c r="A32" s="254" t="s">
        <v>73</v>
      </c>
      <c r="B32" s="1108">
        <v>190</v>
      </c>
      <c r="C32" s="1112">
        <v>0</v>
      </c>
      <c r="D32" s="1112">
        <v>0</v>
      </c>
      <c r="E32" s="1112">
        <v>0</v>
      </c>
      <c r="F32" s="1112">
        <v>0</v>
      </c>
      <c r="G32" s="1112">
        <v>0</v>
      </c>
      <c r="H32" s="1112">
        <v>1</v>
      </c>
      <c r="I32" s="1112">
        <v>145</v>
      </c>
      <c r="J32" s="1112">
        <v>44</v>
      </c>
      <c r="K32" s="1112">
        <v>0</v>
      </c>
      <c r="L32" s="16"/>
    </row>
    <row r="33" spans="1:12" s="12" customFormat="1" ht="18" thickTop="1">
      <c r="A33" s="234"/>
      <c r="B33" s="234"/>
      <c r="C33" s="234"/>
      <c r="D33" s="234"/>
      <c r="E33" s="234"/>
      <c r="F33" s="234"/>
      <c r="G33" s="234"/>
      <c r="H33" s="234"/>
      <c r="I33" s="234"/>
      <c r="J33" s="234"/>
      <c r="K33" s="234"/>
      <c r="L33" s="16"/>
    </row>
    <row r="34" spans="1:12" s="12" customFormat="1" ht="17.25">
      <c r="A34" s="234"/>
      <c r="B34" s="234"/>
      <c r="C34" s="234"/>
      <c r="D34" s="234"/>
      <c r="E34" s="234"/>
      <c r="F34" s="234"/>
      <c r="G34" s="234"/>
      <c r="H34" s="234"/>
      <c r="I34" s="234"/>
      <c r="J34" s="234"/>
      <c r="K34" s="234"/>
      <c r="L34" s="16"/>
    </row>
    <row r="35" spans="1:12" s="15" customFormat="1" ht="17.25">
      <c r="A35" s="238" t="s">
        <v>77</v>
      </c>
      <c r="B35" s="234"/>
      <c r="C35" s="234"/>
      <c r="D35" s="234"/>
      <c r="E35" s="234"/>
      <c r="F35" s="234"/>
      <c r="G35" s="234"/>
      <c r="H35" s="234"/>
      <c r="I35" s="234"/>
      <c r="J35" s="234"/>
      <c r="K35" s="234"/>
      <c r="L35" s="16"/>
    </row>
    <row r="36" spans="1:12" s="23" customFormat="1" ht="13.5">
      <c r="A36" s="249" t="s">
        <v>78</v>
      </c>
      <c r="B36" s="249"/>
      <c r="C36" s="249"/>
      <c r="D36" s="249"/>
      <c r="E36" s="249"/>
      <c r="F36" s="249"/>
      <c r="G36" s="249"/>
      <c r="H36" s="249"/>
      <c r="I36" s="249"/>
      <c r="J36" s="249"/>
      <c r="K36" s="249"/>
      <c r="L36" s="22"/>
    </row>
    <row r="37" spans="1:12" ht="20.25" thickBot="1">
      <c r="A37" s="234"/>
      <c r="B37" s="234"/>
      <c r="C37" s="234"/>
      <c r="D37" s="234"/>
      <c r="E37" s="234"/>
      <c r="F37" s="234"/>
      <c r="G37" s="234"/>
      <c r="H37" s="234"/>
      <c r="I37" s="234"/>
      <c r="J37" s="234"/>
      <c r="K37" s="234"/>
    </row>
    <row r="38" spans="1:12" ht="28.5" thickTop="1" thickBot="1">
      <c r="A38" s="239" t="s">
        <v>69</v>
      </c>
      <c r="B38" s="240" t="s">
        <v>1</v>
      </c>
      <c r="C38" s="241" t="s">
        <v>19</v>
      </c>
      <c r="D38" s="242" t="s">
        <v>20</v>
      </c>
      <c r="E38" s="242" t="s">
        <v>21</v>
      </c>
      <c r="F38" s="255" t="s">
        <v>173</v>
      </c>
      <c r="G38" s="255" t="s">
        <v>174</v>
      </c>
      <c r="H38" s="255" t="s">
        <v>175</v>
      </c>
      <c r="I38" s="1166" t="s">
        <v>176</v>
      </c>
      <c r="J38" s="1167"/>
      <c r="K38" s="1167"/>
    </row>
    <row r="39" spans="1:12" ht="19.5">
      <c r="A39" s="251" t="s">
        <v>2</v>
      </c>
      <c r="B39" s="780">
        <v>22250</v>
      </c>
      <c r="C39" s="781">
        <v>11522</v>
      </c>
      <c r="D39" s="782">
        <v>441</v>
      </c>
      <c r="E39" s="782">
        <v>2572</v>
      </c>
      <c r="F39" s="782">
        <v>0</v>
      </c>
      <c r="G39" s="782">
        <v>1</v>
      </c>
      <c r="H39" s="782">
        <v>7714</v>
      </c>
      <c r="I39" s="1168"/>
      <c r="J39" s="1169"/>
      <c r="K39" s="1169"/>
    </row>
    <row r="40" spans="1:12" ht="19.5">
      <c r="A40" s="252" t="s">
        <v>71</v>
      </c>
      <c r="B40" s="783">
        <v>1259</v>
      </c>
      <c r="C40" s="784">
        <v>502</v>
      </c>
      <c r="D40" s="785">
        <v>48</v>
      </c>
      <c r="E40" s="785">
        <v>704</v>
      </c>
      <c r="F40" s="785">
        <v>0</v>
      </c>
      <c r="G40" s="785">
        <v>0</v>
      </c>
      <c r="H40" s="785">
        <v>5</v>
      </c>
      <c r="I40" s="1132" t="s">
        <v>177</v>
      </c>
      <c r="J40" s="1133"/>
      <c r="K40" s="1133"/>
    </row>
    <row r="41" spans="1:12" ht="19.5">
      <c r="A41" s="253" t="s">
        <v>72</v>
      </c>
      <c r="B41" s="786">
        <v>20706</v>
      </c>
      <c r="C41" s="787">
        <v>10922</v>
      </c>
      <c r="D41" s="788">
        <v>390</v>
      </c>
      <c r="E41" s="788">
        <v>1736</v>
      </c>
      <c r="F41" s="788">
        <v>0</v>
      </c>
      <c r="G41" s="788">
        <v>1</v>
      </c>
      <c r="H41" s="788">
        <v>7657</v>
      </c>
      <c r="I41" s="1124" t="s">
        <v>178</v>
      </c>
      <c r="J41" s="1125"/>
      <c r="K41" s="1125"/>
    </row>
    <row r="42" spans="1:12" ht="20.25" thickBot="1">
      <c r="A42" s="254" t="s">
        <v>73</v>
      </c>
      <c r="B42" s="789">
        <v>285</v>
      </c>
      <c r="C42" s="790">
        <v>98</v>
      </c>
      <c r="D42" s="791">
        <v>3</v>
      </c>
      <c r="E42" s="791">
        <v>132</v>
      </c>
      <c r="F42" s="791">
        <v>0</v>
      </c>
      <c r="G42" s="791">
        <v>0</v>
      </c>
      <c r="H42" s="791">
        <v>52</v>
      </c>
      <c r="I42" s="1126" t="s">
        <v>179</v>
      </c>
      <c r="J42" s="1127"/>
      <c r="K42" s="1127"/>
    </row>
    <row r="43" spans="1:12" ht="20.25" thickTop="1">
      <c r="A43" s="256" t="s">
        <v>86</v>
      </c>
      <c r="B43" s="257"/>
      <c r="C43" s="257"/>
      <c r="D43" s="257"/>
      <c r="E43" s="257"/>
      <c r="F43" s="257"/>
      <c r="G43" s="257"/>
      <c r="H43" s="257"/>
      <c r="I43" s="257"/>
      <c r="J43" s="257"/>
      <c r="K43" s="257"/>
    </row>
    <row r="44" spans="1:12" ht="19.5"/>
    <row r="45" spans="1:12" ht="19.5"/>
    <row r="46" spans="1:12" ht="19.5"/>
    <row r="47" spans="1:12" ht="19.5"/>
    <row r="48" spans="1:12" ht="19.5"/>
    <row r="49" ht="19.5"/>
    <row r="50" ht="19.5"/>
  </sheetData>
  <mergeCells count="3">
    <mergeCell ref="A2:K2"/>
    <mergeCell ref="I6:K6"/>
    <mergeCell ref="D3:F3"/>
  </mergeCells>
  <phoneticPr fontId="3" type="noConversion"/>
  <printOptions horizontalCentered="1"/>
  <pageMargins left="0.31496062992125984" right="0.31496062992125984" top="0.94488188976377963" bottom="0.51181102362204722" header="0.70866141732283472" footer="0.31496062992125984"/>
  <pageSetup paperSize="9" scale="67" fitToWidth="0" fitToHeight="0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L50"/>
  <sheetViews>
    <sheetView showGridLines="0" zoomScale="85" zoomScaleNormal="85" zoomScaleSheetLayoutView="70" workbookViewId="0">
      <selection activeCell="B8" sqref="B8:B11"/>
    </sheetView>
  </sheetViews>
  <sheetFormatPr defaultColWidth="16.42578125" defaultRowHeight="39.950000000000003" customHeight="1"/>
  <cols>
    <col min="1" max="1" width="15.5703125" style="7" customWidth="1"/>
    <col min="2" max="2" width="14.42578125" style="7" customWidth="1"/>
    <col min="3" max="6" width="10.42578125" style="7" customWidth="1"/>
    <col min="7" max="7" width="12.140625" style="7" customWidth="1"/>
    <col min="8" max="10" width="10.42578125" style="7" customWidth="1"/>
    <col min="11" max="11" width="16.28515625" style="7" customWidth="1"/>
    <col min="12" max="12" width="0.85546875" style="7" customWidth="1"/>
    <col min="13" max="16384" width="16.42578125" style="7"/>
  </cols>
  <sheetData>
    <row r="1" spans="1:12" s="2" customFormat="1" ht="25.5">
      <c r="A1" s="258"/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1"/>
    </row>
    <row r="2" spans="1:12" s="2" customFormat="1" ht="26.25">
      <c r="A2" s="1341" t="s">
        <v>67</v>
      </c>
      <c r="B2" s="1341"/>
      <c r="C2" s="1341"/>
      <c r="D2" s="1341"/>
      <c r="E2" s="1341"/>
      <c r="F2" s="1341"/>
      <c r="G2" s="1341"/>
      <c r="H2" s="1341"/>
      <c r="I2" s="1341"/>
      <c r="J2" s="1341"/>
      <c r="K2" s="1341"/>
      <c r="L2" s="1"/>
    </row>
    <row r="3" spans="1:12" s="2" customFormat="1" ht="25.5">
      <c r="A3" s="259"/>
      <c r="B3" s="260"/>
      <c r="C3" s="260"/>
      <c r="D3" s="1343" t="s">
        <v>99</v>
      </c>
      <c r="E3" s="1343"/>
      <c r="F3" s="1343"/>
      <c r="G3" s="260"/>
      <c r="H3" s="260"/>
      <c r="I3" s="260"/>
      <c r="J3" s="260"/>
      <c r="K3" s="260"/>
      <c r="L3" s="1"/>
    </row>
    <row r="4" spans="1:12" s="2" customFormat="1" ht="25.5">
      <c r="A4" s="259"/>
      <c r="B4" s="260"/>
      <c r="C4" s="260"/>
      <c r="D4" s="261"/>
      <c r="E4" s="261"/>
      <c r="F4" s="261"/>
      <c r="G4" s="260"/>
      <c r="H4" s="260"/>
      <c r="I4" s="260"/>
      <c r="J4" s="260"/>
      <c r="K4" s="260"/>
      <c r="L4" s="1"/>
    </row>
    <row r="5" spans="1:12" s="2" customFormat="1" ht="25.5">
      <c r="A5" s="262" t="s">
        <v>87</v>
      </c>
      <c r="B5" s="258"/>
      <c r="C5" s="258"/>
      <c r="D5" s="258"/>
      <c r="E5" s="258"/>
      <c r="F5" s="258"/>
      <c r="G5" s="258"/>
      <c r="H5" s="258"/>
      <c r="I5" s="258"/>
      <c r="J5" s="258"/>
      <c r="K5" s="258"/>
      <c r="L5" s="1"/>
    </row>
    <row r="6" spans="1:12" s="4" customFormat="1" ht="21" thickBot="1">
      <c r="A6" s="258"/>
      <c r="B6" s="258"/>
      <c r="C6" s="258"/>
      <c r="D6" s="258"/>
      <c r="E6" s="258"/>
      <c r="F6" s="258"/>
      <c r="G6" s="258"/>
      <c r="H6" s="258"/>
      <c r="I6" s="1342" t="s">
        <v>188</v>
      </c>
      <c r="J6" s="1342"/>
      <c r="K6" s="1342"/>
      <c r="L6" s="3"/>
    </row>
    <row r="7" spans="1:12" s="5" customFormat="1" ht="21.75" thickTop="1" thickBot="1">
      <c r="A7" s="263" t="s">
        <v>69</v>
      </c>
      <c r="B7" s="264" t="s">
        <v>1</v>
      </c>
      <c r="C7" s="266" t="s">
        <v>11</v>
      </c>
      <c r="D7" s="266" t="s">
        <v>12</v>
      </c>
      <c r="E7" s="266" t="s">
        <v>13</v>
      </c>
      <c r="F7" s="266" t="s">
        <v>14</v>
      </c>
      <c r="G7" s="266" t="s">
        <v>15</v>
      </c>
      <c r="H7" s="266" t="s">
        <v>16</v>
      </c>
      <c r="I7" s="266" t="s">
        <v>17</v>
      </c>
      <c r="J7" s="266" t="s">
        <v>18</v>
      </c>
      <c r="K7" s="267" t="s">
        <v>70</v>
      </c>
      <c r="L7" s="6"/>
    </row>
    <row r="8" spans="1:12" ht="19.5">
      <c r="A8" s="268" t="s">
        <v>2</v>
      </c>
      <c r="B8" s="1100">
        <v>7243</v>
      </c>
      <c r="C8" s="1113">
        <v>0</v>
      </c>
      <c r="D8" s="1113">
        <v>0</v>
      </c>
      <c r="E8" s="1116">
        <v>104</v>
      </c>
      <c r="F8" s="1116">
        <v>3171</v>
      </c>
      <c r="G8" s="1116">
        <v>2585</v>
      </c>
      <c r="H8" s="1116">
        <v>302</v>
      </c>
      <c r="I8" s="1116">
        <v>693</v>
      </c>
      <c r="J8" s="1116">
        <v>354</v>
      </c>
      <c r="K8" s="1120">
        <v>34</v>
      </c>
      <c r="L8" s="8"/>
    </row>
    <row r="9" spans="1:12" s="10" customFormat="1" ht="17.25">
      <c r="A9" s="269" t="s">
        <v>71</v>
      </c>
      <c r="B9" s="1101">
        <v>1072</v>
      </c>
      <c r="C9" s="1109">
        <v>0</v>
      </c>
      <c r="D9" s="1109">
        <v>0</v>
      </c>
      <c r="E9" s="1109">
        <v>0</v>
      </c>
      <c r="F9" s="1109">
        <v>0</v>
      </c>
      <c r="G9" s="1109">
        <v>0</v>
      </c>
      <c r="H9" s="1117">
        <v>66</v>
      </c>
      <c r="I9" s="1117">
        <v>627</v>
      </c>
      <c r="J9" s="1117">
        <v>345</v>
      </c>
      <c r="K9" s="1109">
        <v>34</v>
      </c>
      <c r="L9" s="9"/>
    </row>
    <row r="10" spans="1:12" s="12" customFormat="1" ht="17.25">
      <c r="A10" s="270" t="s">
        <v>72</v>
      </c>
      <c r="B10" s="1102">
        <v>6136</v>
      </c>
      <c r="C10" s="1109">
        <v>0</v>
      </c>
      <c r="D10" s="1109">
        <v>0</v>
      </c>
      <c r="E10" s="1117">
        <v>104</v>
      </c>
      <c r="F10" s="1117">
        <v>3171</v>
      </c>
      <c r="G10" s="1117">
        <v>2584</v>
      </c>
      <c r="H10" s="1117">
        <v>235</v>
      </c>
      <c r="I10" s="1109">
        <v>41</v>
      </c>
      <c r="J10" s="1109">
        <v>1</v>
      </c>
      <c r="K10" s="1109">
        <v>0</v>
      </c>
      <c r="L10" s="11"/>
    </row>
    <row r="11" spans="1:12" s="12" customFormat="1" ht="18" thickBot="1">
      <c r="A11" s="271" t="s">
        <v>73</v>
      </c>
      <c r="B11" s="1123">
        <v>35</v>
      </c>
      <c r="C11" s="1110">
        <v>0</v>
      </c>
      <c r="D11" s="1110">
        <v>0</v>
      </c>
      <c r="E11" s="1110">
        <v>0</v>
      </c>
      <c r="F11" s="1110">
        <v>0</v>
      </c>
      <c r="G11" s="1110">
        <v>1</v>
      </c>
      <c r="H11" s="1110">
        <v>1</v>
      </c>
      <c r="I11" s="1110">
        <v>25</v>
      </c>
      <c r="J11" s="1110">
        <v>8</v>
      </c>
      <c r="K11" s="1110">
        <v>0</v>
      </c>
      <c r="L11" s="11"/>
    </row>
    <row r="12" spans="1:12" s="12" customFormat="1" ht="18" thickTop="1">
      <c r="A12" s="272" t="s">
        <v>74</v>
      </c>
      <c r="B12" s="258"/>
      <c r="C12" s="258"/>
      <c r="D12" s="258"/>
      <c r="E12" s="258"/>
      <c r="F12" s="258"/>
      <c r="G12" s="258"/>
      <c r="H12" s="258"/>
      <c r="I12" s="258"/>
      <c r="J12" s="258"/>
      <c r="K12" s="258"/>
      <c r="L12" s="11"/>
    </row>
    <row r="13" spans="1:12" s="12" customFormat="1" ht="17.25">
      <c r="A13" s="258"/>
      <c r="B13" s="258"/>
      <c r="C13" s="258"/>
      <c r="D13" s="258"/>
      <c r="E13" s="258"/>
      <c r="F13" s="258"/>
      <c r="G13" s="258"/>
      <c r="H13" s="258"/>
      <c r="I13" s="258"/>
      <c r="J13" s="258"/>
      <c r="K13" s="258"/>
      <c r="L13" s="11"/>
    </row>
    <row r="14" spans="1:12" s="13" customFormat="1" ht="16.5">
      <c r="A14" s="258"/>
      <c r="B14" s="258"/>
      <c r="C14" s="258"/>
      <c r="D14" s="258"/>
      <c r="E14" s="258"/>
      <c r="F14" s="258"/>
      <c r="G14" s="258"/>
      <c r="H14" s="258"/>
      <c r="I14" s="258"/>
      <c r="J14" s="258"/>
      <c r="K14" s="258"/>
      <c r="L14" s="14"/>
    </row>
    <row r="15" spans="1:12" s="15" customFormat="1" ht="13.5">
      <c r="A15" s="273" t="s">
        <v>88</v>
      </c>
      <c r="B15" s="273"/>
      <c r="C15" s="273"/>
      <c r="D15" s="273"/>
      <c r="E15" s="273"/>
      <c r="F15" s="273"/>
      <c r="G15" s="273"/>
      <c r="H15" s="273"/>
      <c r="I15" s="273"/>
      <c r="J15" s="273"/>
      <c r="K15" s="273"/>
      <c r="L15" s="16"/>
    </row>
    <row r="16" spans="1:12" s="10" customFormat="1" ht="17.25">
      <c r="A16" s="273" t="s">
        <v>75</v>
      </c>
      <c r="B16" s="273"/>
      <c r="C16" s="273"/>
      <c r="D16" s="273"/>
      <c r="E16" s="273"/>
      <c r="F16" s="273"/>
      <c r="G16" s="273"/>
      <c r="H16" s="273"/>
      <c r="I16" s="273"/>
      <c r="J16" s="273"/>
      <c r="K16" s="273"/>
      <c r="L16" s="9"/>
    </row>
    <row r="17" spans="1:12" s="10" customFormat="1" ht="18" thickBot="1">
      <c r="A17" s="274"/>
      <c r="B17" s="258"/>
      <c r="C17" s="258"/>
      <c r="D17" s="258"/>
      <c r="E17" s="258"/>
      <c r="F17" s="258"/>
      <c r="G17" s="258"/>
      <c r="H17" s="258"/>
      <c r="I17" s="258"/>
      <c r="J17" s="258"/>
      <c r="K17" s="258"/>
      <c r="L17" s="9"/>
    </row>
    <row r="18" spans="1:12" s="12" customFormat="1" ht="18.75" thickTop="1" thickBot="1">
      <c r="A18" s="263" t="s">
        <v>69</v>
      </c>
      <c r="B18" s="264" t="s">
        <v>1</v>
      </c>
      <c r="C18" s="266" t="s">
        <v>11</v>
      </c>
      <c r="D18" s="266" t="s">
        <v>12</v>
      </c>
      <c r="E18" s="266" t="s">
        <v>13</v>
      </c>
      <c r="F18" s="266" t="s">
        <v>14</v>
      </c>
      <c r="G18" s="266" t="s">
        <v>15</v>
      </c>
      <c r="H18" s="266" t="s">
        <v>16</v>
      </c>
      <c r="I18" s="266" t="s">
        <v>17</v>
      </c>
      <c r="J18" s="266" t="s">
        <v>18</v>
      </c>
      <c r="K18" s="1170" t="s">
        <v>166</v>
      </c>
      <c r="L18" s="11"/>
    </row>
    <row r="19" spans="1:12" s="12" customFormat="1" ht="17.25">
      <c r="A19" s="275" t="s">
        <v>2</v>
      </c>
      <c r="B19" s="1100">
        <v>3980</v>
      </c>
      <c r="C19" s="1113">
        <v>0</v>
      </c>
      <c r="D19" s="1113">
        <v>0</v>
      </c>
      <c r="E19" s="1116">
        <v>53</v>
      </c>
      <c r="F19" s="1116">
        <v>1645</v>
      </c>
      <c r="G19" s="1116">
        <v>1245</v>
      </c>
      <c r="H19" s="1116">
        <v>166</v>
      </c>
      <c r="I19" s="1116">
        <v>574</v>
      </c>
      <c r="J19" s="1116">
        <v>269</v>
      </c>
      <c r="K19" s="1120">
        <v>28</v>
      </c>
      <c r="L19" s="11"/>
    </row>
    <row r="20" spans="1:12" s="12" customFormat="1" ht="17.25">
      <c r="A20" s="276" t="s">
        <v>71</v>
      </c>
      <c r="B20" s="1101">
        <v>897</v>
      </c>
      <c r="C20" s="1109">
        <v>0</v>
      </c>
      <c r="D20" s="1109">
        <v>0</v>
      </c>
      <c r="E20" s="1109">
        <v>0</v>
      </c>
      <c r="F20" s="1109">
        <v>0</v>
      </c>
      <c r="G20" s="1109">
        <v>0</v>
      </c>
      <c r="H20" s="1117">
        <v>63</v>
      </c>
      <c r="I20" s="1117">
        <v>542</v>
      </c>
      <c r="J20" s="1117">
        <v>264</v>
      </c>
      <c r="K20" s="1109">
        <v>28</v>
      </c>
      <c r="L20" s="11"/>
    </row>
    <row r="21" spans="1:12" s="12" customFormat="1" ht="17.25">
      <c r="A21" s="277" t="s">
        <v>72</v>
      </c>
      <c r="B21" s="1102">
        <v>3070</v>
      </c>
      <c r="C21" s="1109">
        <v>0</v>
      </c>
      <c r="D21" s="1109">
        <v>0</v>
      </c>
      <c r="E21" s="1117">
        <v>53</v>
      </c>
      <c r="F21" s="1117">
        <v>1645</v>
      </c>
      <c r="G21" s="1117">
        <v>1245</v>
      </c>
      <c r="H21" s="1117">
        <v>103</v>
      </c>
      <c r="I21" s="1109">
        <v>23</v>
      </c>
      <c r="J21" s="1109">
        <v>1</v>
      </c>
      <c r="K21" s="1109">
        <v>0</v>
      </c>
      <c r="L21" s="11"/>
    </row>
    <row r="22" spans="1:12" s="17" customFormat="1" ht="20.25" thickBot="1">
      <c r="A22" s="278" t="s">
        <v>73</v>
      </c>
      <c r="B22" s="1123">
        <v>13</v>
      </c>
      <c r="C22" s="1110">
        <v>0</v>
      </c>
      <c r="D22" s="1110">
        <v>0</v>
      </c>
      <c r="E22" s="1110">
        <v>0</v>
      </c>
      <c r="F22" s="1110">
        <v>0</v>
      </c>
      <c r="G22" s="1110">
        <v>0</v>
      </c>
      <c r="H22" s="1110">
        <v>0</v>
      </c>
      <c r="I22" s="1110">
        <v>9</v>
      </c>
      <c r="J22" s="1110">
        <v>4</v>
      </c>
      <c r="K22" s="1110">
        <v>0</v>
      </c>
      <c r="L22" s="8"/>
    </row>
    <row r="23" spans="1:12" s="18" customFormat="1" ht="18" thickTop="1">
      <c r="A23" s="258"/>
      <c r="B23" s="258"/>
      <c r="C23" s="258"/>
      <c r="D23" s="258"/>
      <c r="E23" s="258"/>
      <c r="F23" s="258"/>
      <c r="G23" s="258"/>
      <c r="H23" s="258"/>
      <c r="I23" s="258"/>
      <c r="J23" s="258"/>
      <c r="K23" s="258"/>
      <c r="L23" s="9"/>
    </row>
    <row r="24" spans="1:12" s="10" customFormat="1" ht="17.25">
      <c r="A24" s="258"/>
      <c r="B24" s="258"/>
      <c r="C24" s="258"/>
      <c r="D24" s="258"/>
      <c r="E24" s="258"/>
      <c r="F24" s="258"/>
      <c r="G24" s="258"/>
      <c r="H24" s="258"/>
      <c r="I24" s="258"/>
      <c r="J24" s="258"/>
      <c r="K24" s="258"/>
      <c r="L24" s="9"/>
    </row>
    <row r="25" spans="1:12" s="12" customFormat="1" ht="17.25">
      <c r="A25" s="273" t="s">
        <v>89</v>
      </c>
      <c r="B25" s="273"/>
      <c r="C25" s="273"/>
      <c r="D25" s="273"/>
      <c r="E25" s="273"/>
      <c r="F25" s="273"/>
      <c r="G25" s="273"/>
      <c r="H25" s="273"/>
      <c r="I25" s="273"/>
      <c r="J25" s="273"/>
      <c r="K25" s="273"/>
      <c r="L25" s="11"/>
    </row>
    <row r="26" spans="1:12" s="12" customFormat="1" ht="17.25">
      <c r="A26" s="273" t="s">
        <v>76</v>
      </c>
      <c r="B26" s="273"/>
      <c r="C26" s="273"/>
      <c r="D26" s="273"/>
      <c r="E26" s="273"/>
      <c r="F26" s="273"/>
      <c r="G26" s="273"/>
      <c r="H26" s="273"/>
      <c r="I26" s="273"/>
      <c r="J26" s="273"/>
      <c r="K26" s="273"/>
      <c r="L26" s="11"/>
    </row>
    <row r="27" spans="1:12" s="12" customFormat="1" ht="18" thickBot="1">
      <c r="A27" s="274"/>
      <c r="B27" s="258"/>
      <c r="C27" s="258"/>
      <c r="D27" s="258"/>
      <c r="E27" s="258"/>
      <c r="F27" s="258"/>
      <c r="G27" s="258"/>
      <c r="H27" s="258"/>
      <c r="I27" s="258"/>
      <c r="J27" s="258"/>
      <c r="K27" s="258"/>
      <c r="L27" s="11"/>
    </row>
    <row r="28" spans="1:12" s="12" customFormat="1" ht="18.75" thickTop="1" thickBot="1">
      <c r="A28" s="263" t="s">
        <v>69</v>
      </c>
      <c r="B28" s="264" t="s">
        <v>1</v>
      </c>
      <c r="C28" s="266" t="s">
        <v>11</v>
      </c>
      <c r="D28" s="266" t="s">
        <v>12</v>
      </c>
      <c r="E28" s="266" t="s">
        <v>13</v>
      </c>
      <c r="F28" s="266" t="s">
        <v>14</v>
      </c>
      <c r="G28" s="266" t="s">
        <v>15</v>
      </c>
      <c r="H28" s="266" t="s">
        <v>16</v>
      </c>
      <c r="I28" s="266" t="s">
        <v>17</v>
      </c>
      <c r="J28" s="266" t="s">
        <v>18</v>
      </c>
      <c r="K28" s="1170" t="s">
        <v>166</v>
      </c>
      <c r="L28" s="11"/>
    </row>
    <row r="29" spans="1:12" ht="19.5">
      <c r="A29" s="275" t="s">
        <v>2</v>
      </c>
      <c r="B29" s="1100">
        <v>3263</v>
      </c>
      <c r="C29" s="1113">
        <v>0</v>
      </c>
      <c r="D29" s="1113">
        <v>0</v>
      </c>
      <c r="E29" s="1116">
        <v>51</v>
      </c>
      <c r="F29" s="1116">
        <v>1526</v>
      </c>
      <c r="G29" s="1116">
        <v>1340</v>
      </c>
      <c r="H29" s="1116">
        <v>136</v>
      </c>
      <c r="I29" s="1116">
        <v>119</v>
      </c>
      <c r="J29" s="1116">
        <v>85</v>
      </c>
      <c r="K29" s="1120">
        <v>6</v>
      </c>
      <c r="L29" s="8"/>
    </row>
    <row r="30" spans="1:12" s="20" customFormat="1" ht="19.5">
      <c r="A30" s="276" t="s">
        <v>71</v>
      </c>
      <c r="B30" s="1101">
        <v>175</v>
      </c>
      <c r="C30" s="1109">
        <v>0</v>
      </c>
      <c r="D30" s="1109">
        <v>0</v>
      </c>
      <c r="E30" s="1109">
        <v>0</v>
      </c>
      <c r="F30" s="1109">
        <v>0</v>
      </c>
      <c r="G30" s="1109">
        <v>0</v>
      </c>
      <c r="H30" s="1117">
        <v>3</v>
      </c>
      <c r="I30" s="1117">
        <v>85</v>
      </c>
      <c r="J30" s="1117">
        <v>81</v>
      </c>
      <c r="K30" s="1109">
        <v>6</v>
      </c>
      <c r="L30" s="19"/>
    </row>
    <row r="31" spans="1:12" s="21" customFormat="1" ht="17.25">
      <c r="A31" s="277" t="s">
        <v>72</v>
      </c>
      <c r="B31" s="1102">
        <v>3066</v>
      </c>
      <c r="C31" s="1109">
        <v>0</v>
      </c>
      <c r="D31" s="1109">
        <v>0</v>
      </c>
      <c r="E31" s="1117">
        <v>51</v>
      </c>
      <c r="F31" s="1117">
        <v>1526</v>
      </c>
      <c r="G31" s="1117">
        <v>1339</v>
      </c>
      <c r="H31" s="1117">
        <v>132</v>
      </c>
      <c r="I31" s="1109">
        <v>18</v>
      </c>
      <c r="J31" s="1109">
        <v>0</v>
      </c>
      <c r="K31" s="1109">
        <v>0</v>
      </c>
      <c r="L31" s="16"/>
    </row>
    <row r="32" spans="1:12" s="12" customFormat="1" ht="18" thickBot="1">
      <c r="A32" s="278" t="s">
        <v>73</v>
      </c>
      <c r="B32" s="1123">
        <v>22</v>
      </c>
      <c r="C32" s="1110">
        <v>0</v>
      </c>
      <c r="D32" s="1110">
        <v>0</v>
      </c>
      <c r="E32" s="1110">
        <v>0</v>
      </c>
      <c r="F32" s="1110">
        <v>0</v>
      </c>
      <c r="G32" s="1110">
        <v>1</v>
      </c>
      <c r="H32" s="1110">
        <v>1</v>
      </c>
      <c r="I32" s="1110">
        <v>16</v>
      </c>
      <c r="J32" s="1110">
        <v>4</v>
      </c>
      <c r="K32" s="1110">
        <v>0</v>
      </c>
      <c r="L32" s="16"/>
    </row>
    <row r="33" spans="1:12" s="12" customFormat="1" ht="18" thickTop="1">
      <c r="A33" s="258"/>
      <c r="B33" s="258"/>
      <c r="C33" s="258"/>
      <c r="D33" s="258"/>
      <c r="E33" s="258"/>
      <c r="F33" s="258"/>
      <c r="G33" s="258"/>
      <c r="H33" s="258"/>
      <c r="I33" s="258"/>
      <c r="J33" s="258"/>
      <c r="K33" s="258"/>
      <c r="L33" s="16"/>
    </row>
    <row r="34" spans="1:12" s="12" customFormat="1" ht="17.25">
      <c r="A34" s="258"/>
      <c r="B34" s="258"/>
      <c r="C34" s="258"/>
      <c r="D34" s="258"/>
      <c r="E34" s="258"/>
      <c r="F34" s="258"/>
      <c r="G34" s="258"/>
      <c r="H34" s="258"/>
      <c r="I34" s="258"/>
      <c r="J34" s="258"/>
      <c r="K34" s="258"/>
      <c r="L34" s="16"/>
    </row>
    <row r="35" spans="1:12" s="15" customFormat="1" ht="17.25">
      <c r="A35" s="262" t="s">
        <v>77</v>
      </c>
      <c r="B35" s="258"/>
      <c r="C35" s="258"/>
      <c r="D35" s="258"/>
      <c r="E35" s="258"/>
      <c r="F35" s="258"/>
      <c r="G35" s="258"/>
      <c r="H35" s="258"/>
      <c r="I35" s="258"/>
      <c r="J35" s="258"/>
      <c r="K35" s="258"/>
      <c r="L35" s="16"/>
    </row>
    <row r="36" spans="1:12" s="23" customFormat="1" ht="13.5">
      <c r="A36" s="273" t="s">
        <v>78</v>
      </c>
      <c r="B36" s="273"/>
      <c r="C36" s="273"/>
      <c r="D36" s="273"/>
      <c r="E36" s="273"/>
      <c r="F36" s="273"/>
      <c r="G36" s="273"/>
      <c r="H36" s="273"/>
      <c r="I36" s="273"/>
      <c r="J36" s="273"/>
      <c r="K36" s="273"/>
      <c r="L36" s="22"/>
    </row>
    <row r="37" spans="1:12" ht="20.25" thickBot="1">
      <c r="A37" s="258"/>
      <c r="B37" s="258"/>
      <c r="C37" s="258"/>
      <c r="D37" s="258"/>
      <c r="E37" s="258"/>
      <c r="F37" s="258"/>
      <c r="G37" s="258"/>
      <c r="H37" s="258"/>
      <c r="I37" s="258"/>
      <c r="J37" s="258"/>
      <c r="K37" s="258"/>
    </row>
    <row r="38" spans="1:12" ht="28.5" thickTop="1" thickBot="1">
      <c r="A38" s="263" t="s">
        <v>69</v>
      </c>
      <c r="B38" s="264" t="s">
        <v>1</v>
      </c>
      <c r="C38" s="265" t="s">
        <v>19</v>
      </c>
      <c r="D38" s="266" t="s">
        <v>20</v>
      </c>
      <c r="E38" s="266" t="s">
        <v>21</v>
      </c>
      <c r="F38" s="279" t="s">
        <v>79</v>
      </c>
      <c r="G38" s="279" t="s">
        <v>80</v>
      </c>
      <c r="H38" s="279" t="s">
        <v>81</v>
      </c>
      <c r="I38" s="1170" t="s">
        <v>82</v>
      </c>
      <c r="J38" s="1171"/>
      <c r="K38" s="1171"/>
    </row>
    <row r="39" spans="1:12" ht="19.5">
      <c r="A39" s="275" t="s">
        <v>2</v>
      </c>
      <c r="B39" s="780">
        <v>4030</v>
      </c>
      <c r="C39" s="781">
        <v>2072</v>
      </c>
      <c r="D39" s="782">
        <v>94</v>
      </c>
      <c r="E39" s="782">
        <v>352</v>
      </c>
      <c r="F39" s="782">
        <v>0</v>
      </c>
      <c r="G39" s="782">
        <v>0</v>
      </c>
      <c r="H39" s="782">
        <v>1512</v>
      </c>
      <c r="I39" s="1168"/>
      <c r="J39" s="1169"/>
      <c r="K39" s="1169"/>
    </row>
    <row r="40" spans="1:12" ht="19.5">
      <c r="A40" s="276" t="s">
        <v>71</v>
      </c>
      <c r="B40" s="783">
        <v>197</v>
      </c>
      <c r="C40" s="784">
        <v>89</v>
      </c>
      <c r="D40" s="785">
        <v>14</v>
      </c>
      <c r="E40" s="785">
        <v>94</v>
      </c>
      <c r="F40" s="785">
        <v>0</v>
      </c>
      <c r="G40" s="785">
        <v>0</v>
      </c>
      <c r="H40" s="785">
        <v>0</v>
      </c>
      <c r="I40" s="1132" t="s">
        <v>83</v>
      </c>
      <c r="J40" s="1133"/>
      <c r="K40" s="1133"/>
    </row>
    <row r="41" spans="1:12" ht="19.5">
      <c r="A41" s="277" t="s">
        <v>72</v>
      </c>
      <c r="B41" s="786">
        <v>3800</v>
      </c>
      <c r="C41" s="787">
        <v>1970</v>
      </c>
      <c r="D41" s="788">
        <v>78</v>
      </c>
      <c r="E41" s="788">
        <v>248</v>
      </c>
      <c r="F41" s="788">
        <v>0</v>
      </c>
      <c r="G41" s="788">
        <v>0</v>
      </c>
      <c r="H41" s="788">
        <v>1504</v>
      </c>
      <c r="I41" s="1124" t="s">
        <v>84</v>
      </c>
      <c r="J41" s="1125"/>
      <c r="K41" s="1125"/>
    </row>
    <row r="42" spans="1:12" ht="20.25" thickBot="1">
      <c r="A42" s="278" t="s">
        <v>73</v>
      </c>
      <c r="B42" s="789">
        <v>33</v>
      </c>
      <c r="C42" s="790">
        <v>13</v>
      </c>
      <c r="D42" s="791">
        <v>2</v>
      </c>
      <c r="E42" s="791">
        <v>10</v>
      </c>
      <c r="F42" s="791">
        <v>0</v>
      </c>
      <c r="G42" s="791">
        <v>0</v>
      </c>
      <c r="H42" s="791">
        <v>8</v>
      </c>
      <c r="I42" s="1126" t="s">
        <v>85</v>
      </c>
      <c r="J42" s="1127"/>
      <c r="K42" s="1127"/>
    </row>
    <row r="43" spans="1:12" ht="20.25" thickTop="1">
      <c r="A43" s="280" t="s">
        <v>86</v>
      </c>
      <c r="B43" s="281"/>
      <c r="C43" s="281"/>
      <c r="D43" s="281"/>
      <c r="E43" s="281"/>
      <c r="F43" s="281"/>
      <c r="G43" s="281"/>
      <c r="H43" s="281"/>
      <c r="I43" s="281"/>
      <c r="J43" s="281"/>
      <c r="K43" s="281"/>
    </row>
    <row r="44" spans="1:12" ht="19.5"/>
    <row r="45" spans="1:12" ht="19.5"/>
    <row r="46" spans="1:12" ht="19.5"/>
    <row r="47" spans="1:12" ht="19.5"/>
    <row r="48" spans="1:12" ht="19.5"/>
    <row r="49" ht="19.5"/>
    <row r="50" ht="19.5"/>
  </sheetData>
  <mergeCells count="3">
    <mergeCell ref="A2:K2"/>
    <mergeCell ref="I6:K6"/>
    <mergeCell ref="D3:F3"/>
  </mergeCells>
  <phoneticPr fontId="3" type="noConversion"/>
  <printOptions horizontalCentered="1"/>
  <pageMargins left="0.31496062992125984" right="0.31496062992125984" top="0.94488188976377963" bottom="0.51181102362204722" header="0.70866141732283472" footer="0.31496062992125984"/>
  <pageSetup paperSize="9" scale="67" fitToWidth="0" fitToHeight="0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L50"/>
  <sheetViews>
    <sheetView showGridLines="0" zoomScale="85" zoomScaleNormal="85" zoomScaleSheetLayoutView="70" workbookViewId="0">
      <selection activeCell="B8" sqref="B8:B11"/>
    </sheetView>
  </sheetViews>
  <sheetFormatPr defaultColWidth="16.42578125" defaultRowHeight="39.950000000000003" customHeight="1"/>
  <cols>
    <col min="1" max="1" width="15.5703125" style="7" customWidth="1"/>
    <col min="2" max="2" width="14.42578125" style="7" customWidth="1"/>
    <col min="3" max="6" width="10.42578125" style="7" customWidth="1"/>
    <col min="7" max="7" width="12.140625" style="7" customWidth="1"/>
    <col min="8" max="10" width="10.42578125" style="7" customWidth="1"/>
    <col min="11" max="11" width="16.28515625" style="7" customWidth="1"/>
    <col min="12" max="12" width="1" style="7" customWidth="1"/>
    <col min="13" max="16384" width="16.42578125" style="7"/>
  </cols>
  <sheetData>
    <row r="1" spans="1:12" s="2" customFormat="1" ht="25.5">
      <c r="A1" s="282"/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1"/>
    </row>
    <row r="2" spans="1:12" s="2" customFormat="1" ht="26.25">
      <c r="A2" s="1344" t="s">
        <v>67</v>
      </c>
      <c r="B2" s="1344"/>
      <c r="C2" s="1344"/>
      <c r="D2" s="1344"/>
      <c r="E2" s="1344"/>
      <c r="F2" s="1344"/>
      <c r="G2" s="1344"/>
      <c r="H2" s="1344"/>
      <c r="I2" s="1344"/>
      <c r="J2" s="1344"/>
      <c r="K2" s="1344"/>
      <c r="L2" s="1"/>
    </row>
    <row r="3" spans="1:12" s="2" customFormat="1" ht="25.5">
      <c r="A3" s="283"/>
      <c r="B3" s="284"/>
      <c r="C3" s="284"/>
      <c r="D3" s="1346" t="s">
        <v>100</v>
      </c>
      <c r="E3" s="1346"/>
      <c r="F3" s="1346"/>
      <c r="G3" s="284"/>
      <c r="H3" s="284"/>
      <c r="I3" s="284"/>
      <c r="J3" s="284"/>
      <c r="K3" s="284"/>
      <c r="L3" s="1"/>
    </row>
    <row r="4" spans="1:12" s="2" customFormat="1" ht="25.5">
      <c r="A4" s="283"/>
      <c r="B4" s="284"/>
      <c r="C4" s="284"/>
      <c r="D4" s="285"/>
      <c r="E4" s="285"/>
      <c r="F4" s="285"/>
      <c r="G4" s="284"/>
      <c r="H4" s="284"/>
      <c r="I4" s="284"/>
      <c r="J4" s="284"/>
      <c r="K4" s="284"/>
      <c r="L4" s="1"/>
    </row>
    <row r="5" spans="1:12" s="2" customFormat="1" ht="25.5">
      <c r="A5" s="286" t="s">
        <v>87</v>
      </c>
      <c r="B5" s="282"/>
      <c r="C5" s="282"/>
      <c r="D5" s="282"/>
      <c r="E5" s="282"/>
      <c r="F5" s="282"/>
      <c r="G5" s="282"/>
      <c r="H5" s="282"/>
      <c r="I5" s="282"/>
      <c r="J5" s="282"/>
      <c r="K5" s="282"/>
      <c r="L5" s="1"/>
    </row>
    <row r="6" spans="1:12" s="4" customFormat="1" ht="21" thickBot="1">
      <c r="A6" s="282"/>
      <c r="B6" s="282"/>
      <c r="C6" s="282"/>
      <c r="D6" s="282"/>
      <c r="E6" s="282"/>
      <c r="F6" s="282"/>
      <c r="G6" s="282"/>
      <c r="H6" s="282"/>
      <c r="I6" s="1345" t="s">
        <v>188</v>
      </c>
      <c r="J6" s="1345"/>
      <c r="K6" s="1345"/>
      <c r="L6" s="3"/>
    </row>
    <row r="7" spans="1:12" s="5" customFormat="1" ht="21.75" thickTop="1" thickBot="1">
      <c r="A7" s="287" t="s">
        <v>69</v>
      </c>
      <c r="B7" s="288" t="s">
        <v>1</v>
      </c>
      <c r="C7" s="290" t="s">
        <v>11</v>
      </c>
      <c r="D7" s="290" t="s">
        <v>12</v>
      </c>
      <c r="E7" s="290" t="s">
        <v>13</v>
      </c>
      <c r="F7" s="290" t="s">
        <v>14</v>
      </c>
      <c r="G7" s="290" t="s">
        <v>15</v>
      </c>
      <c r="H7" s="290" t="s">
        <v>16</v>
      </c>
      <c r="I7" s="290" t="s">
        <v>17</v>
      </c>
      <c r="J7" s="290" t="s">
        <v>18</v>
      </c>
      <c r="K7" s="291" t="s">
        <v>166</v>
      </c>
      <c r="L7" s="6"/>
    </row>
    <row r="8" spans="1:12" ht="19.5">
      <c r="A8" s="292" t="s">
        <v>2</v>
      </c>
      <c r="B8" s="792">
        <v>5283</v>
      </c>
      <c r="C8" s="793">
        <v>0</v>
      </c>
      <c r="D8" s="793">
        <v>0</v>
      </c>
      <c r="E8" s="793">
        <v>84</v>
      </c>
      <c r="F8" s="793">
        <v>2649</v>
      </c>
      <c r="G8" s="793">
        <v>1660</v>
      </c>
      <c r="H8" s="793">
        <v>163</v>
      </c>
      <c r="I8" s="793">
        <v>417</v>
      </c>
      <c r="J8" s="793">
        <v>296</v>
      </c>
      <c r="K8" s="794">
        <v>14</v>
      </c>
      <c r="L8" s="8"/>
    </row>
    <row r="9" spans="1:12" s="10" customFormat="1" ht="17.25">
      <c r="A9" s="293" t="s">
        <v>71</v>
      </c>
      <c r="B9" s="795">
        <v>721</v>
      </c>
      <c r="C9" s="796">
        <v>0</v>
      </c>
      <c r="D9" s="796">
        <v>0</v>
      </c>
      <c r="E9" s="796">
        <v>0</v>
      </c>
      <c r="F9" s="796">
        <v>0</v>
      </c>
      <c r="G9" s="796">
        <v>1</v>
      </c>
      <c r="H9" s="796">
        <v>14</v>
      </c>
      <c r="I9" s="796">
        <v>397</v>
      </c>
      <c r="J9" s="796">
        <v>295</v>
      </c>
      <c r="K9" s="797">
        <v>14</v>
      </c>
      <c r="L9" s="9"/>
    </row>
    <row r="10" spans="1:12" s="12" customFormat="1" ht="17.25">
      <c r="A10" s="294" t="s">
        <v>72</v>
      </c>
      <c r="B10" s="798">
        <v>4556</v>
      </c>
      <c r="C10" s="799">
        <v>0</v>
      </c>
      <c r="D10" s="799">
        <v>0</v>
      </c>
      <c r="E10" s="799">
        <v>84</v>
      </c>
      <c r="F10" s="799">
        <v>2649</v>
      </c>
      <c r="G10" s="799">
        <v>1659</v>
      </c>
      <c r="H10" s="799">
        <v>148</v>
      </c>
      <c r="I10" s="799">
        <v>16</v>
      </c>
      <c r="J10" s="799">
        <v>0</v>
      </c>
      <c r="K10" s="800">
        <v>0</v>
      </c>
      <c r="L10" s="11"/>
    </row>
    <row r="11" spans="1:12" s="12" customFormat="1" ht="18" thickBot="1">
      <c r="A11" s="295" t="s">
        <v>73</v>
      </c>
      <c r="B11" s="801">
        <v>6</v>
      </c>
      <c r="C11" s="802">
        <v>0</v>
      </c>
      <c r="D11" s="802">
        <v>0</v>
      </c>
      <c r="E11" s="802">
        <v>0</v>
      </c>
      <c r="F11" s="802">
        <v>0</v>
      </c>
      <c r="G11" s="802">
        <v>0</v>
      </c>
      <c r="H11" s="802">
        <v>1</v>
      </c>
      <c r="I11" s="802">
        <v>4</v>
      </c>
      <c r="J11" s="802">
        <v>1</v>
      </c>
      <c r="K11" s="803">
        <v>0</v>
      </c>
      <c r="L11" s="11"/>
    </row>
    <row r="12" spans="1:12" s="12" customFormat="1" ht="18" thickTop="1">
      <c r="A12" s="296" t="s">
        <v>74</v>
      </c>
      <c r="B12" s="282"/>
      <c r="C12" s="282"/>
      <c r="D12" s="282"/>
      <c r="E12" s="282"/>
      <c r="F12" s="282"/>
      <c r="G12" s="282"/>
      <c r="H12" s="282"/>
      <c r="I12" s="282"/>
      <c r="J12" s="282"/>
      <c r="K12" s="282"/>
      <c r="L12" s="11"/>
    </row>
    <row r="13" spans="1:12" s="12" customFormat="1" ht="17.25">
      <c r="A13" s="282"/>
      <c r="B13" s="282"/>
      <c r="C13" s="282"/>
      <c r="D13" s="282"/>
      <c r="E13" s="282"/>
      <c r="F13" s="282"/>
      <c r="G13" s="282"/>
      <c r="H13" s="282"/>
      <c r="I13" s="282"/>
      <c r="J13" s="282"/>
      <c r="K13" s="282"/>
      <c r="L13" s="11"/>
    </row>
    <row r="14" spans="1:12" s="13" customFormat="1" ht="16.5">
      <c r="A14" s="282"/>
      <c r="B14" s="282"/>
      <c r="C14" s="282"/>
      <c r="D14" s="282"/>
      <c r="E14" s="282"/>
      <c r="F14" s="282"/>
      <c r="G14" s="282"/>
      <c r="H14" s="282"/>
      <c r="I14" s="282"/>
      <c r="J14" s="282"/>
      <c r="K14" s="282"/>
      <c r="L14" s="14"/>
    </row>
    <row r="15" spans="1:12" s="15" customFormat="1" ht="13.5">
      <c r="A15" s="297" t="s">
        <v>88</v>
      </c>
      <c r="B15" s="297"/>
      <c r="C15" s="297"/>
      <c r="D15" s="297"/>
      <c r="E15" s="297"/>
      <c r="F15" s="297"/>
      <c r="G15" s="297"/>
      <c r="H15" s="297"/>
      <c r="I15" s="297"/>
      <c r="J15" s="297"/>
      <c r="K15" s="297"/>
      <c r="L15" s="16"/>
    </row>
    <row r="16" spans="1:12" s="10" customFormat="1" ht="17.25">
      <c r="A16" s="297" t="s">
        <v>75</v>
      </c>
      <c r="B16" s="297"/>
      <c r="C16" s="297"/>
      <c r="D16" s="297"/>
      <c r="E16" s="297"/>
      <c r="F16" s="297"/>
      <c r="G16" s="297"/>
      <c r="H16" s="297"/>
      <c r="I16" s="297"/>
      <c r="J16" s="297"/>
      <c r="K16" s="297"/>
      <c r="L16" s="9"/>
    </row>
    <row r="17" spans="1:12" s="10" customFormat="1" ht="18" thickBot="1">
      <c r="A17" s="298"/>
      <c r="B17" s="282"/>
      <c r="C17" s="282"/>
      <c r="D17" s="282"/>
      <c r="E17" s="282"/>
      <c r="F17" s="282"/>
      <c r="G17" s="282"/>
      <c r="H17" s="282"/>
      <c r="I17" s="282"/>
      <c r="J17" s="282"/>
      <c r="K17" s="282"/>
      <c r="L17" s="9"/>
    </row>
    <row r="18" spans="1:12" s="12" customFormat="1" ht="18.75" thickTop="1" thickBot="1">
      <c r="A18" s="287" t="s">
        <v>69</v>
      </c>
      <c r="B18" s="288" t="s">
        <v>1</v>
      </c>
      <c r="C18" s="290" t="s">
        <v>11</v>
      </c>
      <c r="D18" s="290" t="s">
        <v>12</v>
      </c>
      <c r="E18" s="290" t="s">
        <v>13</v>
      </c>
      <c r="F18" s="290" t="s">
        <v>14</v>
      </c>
      <c r="G18" s="290" t="s">
        <v>15</v>
      </c>
      <c r="H18" s="290" t="s">
        <v>16</v>
      </c>
      <c r="I18" s="290" t="s">
        <v>17</v>
      </c>
      <c r="J18" s="290" t="s">
        <v>18</v>
      </c>
      <c r="K18" s="1172" t="s">
        <v>166</v>
      </c>
      <c r="L18" s="11"/>
    </row>
    <row r="19" spans="1:12" s="12" customFormat="1" ht="17.25">
      <c r="A19" s="299" t="s">
        <v>2</v>
      </c>
      <c r="B19" s="804">
        <v>2770</v>
      </c>
      <c r="C19" s="806">
        <v>0</v>
      </c>
      <c r="D19" s="806">
        <v>0</v>
      </c>
      <c r="E19" s="806">
        <v>41</v>
      </c>
      <c r="F19" s="806">
        <v>1316</v>
      </c>
      <c r="G19" s="806">
        <v>745</v>
      </c>
      <c r="H19" s="806">
        <v>87</v>
      </c>
      <c r="I19" s="806">
        <v>334</v>
      </c>
      <c r="J19" s="806">
        <v>235</v>
      </c>
      <c r="K19" s="807">
        <v>12</v>
      </c>
      <c r="L19" s="11"/>
    </row>
    <row r="20" spans="1:12" s="12" customFormat="1" ht="17.25">
      <c r="A20" s="300" t="s">
        <v>71</v>
      </c>
      <c r="B20" s="808">
        <v>582</v>
      </c>
      <c r="C20" s="810">
        <v>0</v>
      </c>
      <c r="D20" s="810">
        <v>0</v>
      </c>
      <c r="E20" s="810">
        <v>0</v>
      </c>
      <c r="F20" s="810">
        <v>0</v>
      </c>
      <c r="G20" s="810">
        <v>1</v>
      </c>
      <c r="H20" s="810">
        <v>13</v>
      </c>
      <c r="I20" s="810">
        <v>321</v>
      </c>
      <c r="J20" s="810">
        <v>235</v>
      </c>
      <c r="K20" s="811">
        <v>12</v>
      </c>
      <c r="L20" s="11"/>
    </row>
    <row r="21" spans="1:12" s="12" customFormat="1" ht="17.25">
      <c r="A21" s="301" t="s">
        <v>72</v>
      </c>
      <c r="B21" s="812">
        <v>2183</v>
      </c>
      <c r="C21" s="814">
        <v>0</v>
      </c>
      <c r="D21" s="814">
        <v>0</v>
      </c>
      <c r="E21" s="814">
        <v>41</v>
      </c>
      <c r="F21" s="814">
        <v>1316</v>
      </c>
      <c r="G21" s="814">
        <v>744</v>
      </c>
      <c r="H21" s="814">
        <v>73</v>
      </c>
      <c r="I21" s="814">
        <v>9</v>
      </c>
      <c r="J21" s="814">
        <v>0</v>
      </c>
      <c r="K21" s="815">
        <v>0</v>
      </c>
      <c r="L21" s="11"/>
    </row>
    <row r="22" spans="1:12" s="17" customFormat="1" ht="20.25" thickBot="1">
      <c r="A22" s="302" t="s">
        <v>73</v>
      </c>
      <c r="B22" s="816">
        <v>5</v>
      </c>
      <c r="C22" s="818">
        <v>0</v>
      </c>
      <c r="D22" s="818">
        <v>0</v>
      </c>
      <c r="E22" s="818">
        <v>0</v>
      </c>
      <c r="F22" s="818">
        <v>0</v>
      </c>
      <c r="G22" s="818">
        <v>0</v>
      </c>
      <c r="H22" s="818">
        <v>1</v>
      </c>
      <c r="I22" s="818">
        <v>4</v>
      </c>
      <c r="J22" s="818">
        <v>0</v>
      </c>
      <c r="K22" s="819">
        <v>0</v>
      </c>
      <c r="L22" s="8"/>
    </row>
    <row r="23" spans="1:12" s="18" customFormat="1" ht="18" thickTop="1">
      <c r="A23" s="282"/>
      <c r="B23" s="282"/>
      <c r="C23" s="282"/>
      <c r="D23" s="282"/>
      <c r="E23" s="282"/>
      <c r="F23" s="282"/>
      <c r="G23" s="282"/>
      <c r="H23" s="282"/>
      <c r="I23" s="282"/>
      <c r="J23" s="282"/>
      <c r="K23" s="282"/>
      <c r="L23" s="9"/>
    </row>
    <row r="24" spans="1:12" s="10" customFormat="1" ht="17.25">
      <c r="A24" s="282"/>
      <c r="B24" s="282"/>
      <c r="C24" s="282"/>
      <c r="D24" s="282"/>
      <c r="E24" s="282"/>
      <c r="F24" s="282"/>
      <c r="G24" s="282"/>
      <c r="H24" s="282"/>
      <c r="I24" s="282"/>
      <c r="J24" s="282"/>
      <c r="K24" s="282"/>
      <c r="L24" s="9"/>
    </row>
    <row r="25" spans="1:12" s="12" customFormat="1" ht="17.25">
      <c r="A25" s="297" t="s">
        <v>89</v>
      </c>
      <c r="B25" s="297"/>
      <c r="C25" s="297"/>
      <c r="D25" s="297"/>
      <c r="E25" s="297"/>
      <c r="F25" s="297"/>
      <c r="G25" s="297"/>
      <c r="H25" s="297"/>
      <c r="I25" s="297"/>
      <c r="J25" s="297"/>
      <c r="K25" s="297"/>
      <c r="L25" s="11"/>
    </row>
    <row r="26" spans="1:12" s="12" customFormat="1" ht="17.25">
      <c r="A26" s="297" t="s">
        <v>76</v>
      </c>
      <c r="B26" s="297"/>
      <c r="C26" s="297"/>
      <c r="D26" s="297"/>
      <c r="E26" s="297"/>
      <c r="F26" s="297"/>
      <c r="G26" s="297"/>
      <c r="H26" s="297"/>
      <c r="I26" s="297"/>
      <c r="J26" s="297"/>
      <c r="K26" s="297"/>
      <c r="L26" s="11"/>
    </row>
    <row r="27" spans="1:12" s="12" customFormat="1" ht="18" thickBot="1">
      <c r="A27" s="298"/>
      <c r="B27" s="282"/>
      <c r="C27" s="282"/>
      <c r="D27" s="282"/>
      <c r="E27" s="282"/>
      <c r="F27" s="282"/>
      <c r="G27" s="282"/>
      <c r="H27" s="282"/>
      <c r="I27" s="282"/>
      <c r="J27" s="282"/>
      <c r="K27" s="282"/>
      <c r="L27" s="11"/>
    </row>
    <row r="28" spans="1:12" s="12" customFormat="1" ht="18.75" thickTop="1" thickBot="1">
      <c r="A28" s="287" t="s">
        <v>69</v>
      </c>
      <c r="B28" s="288" t="s">
        <v>1</v>
      </c>
      <c r="C28" s="290" t="s">
        <v>11</v>
      </c>
      <c r="D28" s="290" t="s">
        <v>12</v>
      </c>
      <c r="E28" s="290" t="s">
        <v>13</v>
      </c>
      <c r="F28" s="290" t="s">
        <v>14</v>
      </c>
      <c r="G28" s="290" t="s">
        <v>15</v>
      </c>
      <c r="H28" s="290" t="s">
        <v>16</v>
      </c>
      <c r="I28" s="290" t="s">
        <v>17</v>
      </c>
      <c r="J28" s="290" t="s">
        <v>18</v>
      </c>
      <c r="K28" s="1172" t="s">
        <v>166</v>
      </c>
      <c r="L28" s="11"/>
    </row>
    <row r="29" spans="1:12" ht="19.5">
      <c r="A29" s="299" t="s">
        <v>2</v>
      </c>
      <c r="B29" s="804">
        <v>2513</v>
      </c>
      <c r="C29" s="806">
        <v>0</v>
      </c>
      <c r="D29" s="806">
        <v>0</v>
      </c>
      <c r="E29" s="806">
        <v>43</v>
      </c>
      <c r="F29" s="806">
        <v>1333</v>
      </c>
      <c r="G29" s="806">
        <v>915</v>
      </c>
      <c r="H29" s="806">
        <v>76</v>
      </c>
      <c r="I29" s="806">
        <v>83</v>
      </c>
      <c r="J29" s="806">
        <v>61</v>
      </c>
      <c r="K29" s="807">
        <v>2</v>
      </c>
      <c r="L29" s="8"/>
    </row>
    <row r="30" spans="1:12" s="20" customFormat="1" ht="19.5">
      <c r="A30" s="300" t="s">
        <v>71</v>
      </c>
      <c r="B30" s="808">
        <v>139</v>
      </c>
      <c r="C30" s="810">
        <v>0</v>
      </c>
      <c r="D30" s="810">
        <v>0</v>
      </c>
      <c r="E30" s="810">
        <v>0</v>
      </c>
      <c r="F30" s="810">
        <v>0</v>
      </c>
      <c r="G30" s="810">
        <v>0</v>
      </c>
      <c r="H30" s="810">
        <v>1</v>
      </c>
      <c r="I30" s="810">
        <v>76</v>
      </c>
      <c r="J30" s="810">
        <v>60</v>
      </c>
      <c r="K30" s="811">
        <v>2</v>
      </c>
      <c r="L30" s="19"/>
    </row>
    <row r="31" spans="1:12" s="21" customFormat="1" ht="17.25">
      <c r="A31" s="301" t="s">
        <v>72</v>
      </c>
      <c r="B31" s="812">
        <v>2373</v>
      </c>
      <c r="C31" s="814">
        <v>0</v>
      </c>
      <c r="D31" s="814">
        <v>0</v>
      </c>
      <c r="E31" s="814">
        <v>43</v>
      </c>
      <c r="F31" s="814">
        <v>1333</v>
      </c>
      <c r="G31" s="814">
        <v>915</v>
      </c>
      <c r="H31" s="814">
        <v>75</v>
      </c>
      <c r="I31" s="814">
        <v>7</v>
      </c>
      <c r="J31" s="814">
        <v>0</v>
      </c>
      <c r="K31" s="815">
        <v>0</v>
      </c>
      <c r="L31" s="16"/>
    </row>
    <row r="32" spans="1:12" s="12" customFormat="1" ht="18" thickBot="1">
      <c r="A32" s="302" t="s">
        <v>73</v>
      </c>
      <c r="B32" s="816">
        <v>1</v>
      </c>
      <c r="C32" s="818">
        <v>0</v>
      </c>
      <c r="D32" s="818">
        <v>0</v>
      </c>
      <c r="E32" s="818">
        <v>0</v>
      </c>
      <c r="F32" s="818">
        <v>0</v>
      </c>
      <c r="G32" s="818">
        <v>0</v>
      </c>
      <c r="H32" s="818">
        <v>0</v>
      </c>
      <c r="I32" s="818">
        <v>0</v>
      </c>
      <c r="J32" s="818">
        <v>1</v>
      </c>
      <c r="K32" s="819">
        <v>0</v>
      </c>
      <c r="L32" s="16"/>
    </row>
    <row r="33" spans="1:12" s="12" customFormat="1" ht="18" thickTop="1">
      <c r="A33" s="282"/>
      <c r="B33" s="282"/>
      <c r="C33" s="282"/>
      <c r="D33" s="282"/>
      <c r="E33" s="282"/>
      <c r="F33" s="282"/>
      <c r="G33" s="282"/>
      <c r="H33" s="282"/>
      <c r="I33" s="282"/>
      <c r="J33" s="282"/>
      <c r="K33" s="282"/>
      <c r="L33" s="16"/>
    </row>
    <row r="34" spans="1:12" s="12" customFormat="1" ht="17.25">
      <c r="A34" s="282"/>
      <c r="B34" s="282"/>
      <c r="C34" s="282"/>
      <c r="D34" s="282"/>
      <c r="E34" s="282"/>
      <c r="F34" s="282"/>
      <c r="G34" s="282"/>
      <c r="H34" s="282"/>
      <c r="I34" s="282"/>
      <c r="J34" s="282"/>
      <c r="K34" s="282"/>
      <c r="L34" s="16"/>
    </row>
    <row r="35" spans="1:12" s="15" customFormat="1" ht="17.25">
      <c r="A35" s="286" t="s">
        <v>77</v>
      </c>
      <c r="B35" s="282"/>
      <c r="C35" s="282"/>
      <c r="D35" s="282"/>
      <c r="E35" s="282"/>
      <c r="F35" s="282"/>
      <c r="G35" s="282"/>
      <c r="H35" s="282"/>
      <c r="I35" s="282"/>
      <c r="J35" s="282"/>
      <c r="K35" s="282"/>
      <c r="L35" s="16"/>
    </row>
    <row r="36" spans="1:12" s="23" customFormat="1" ht="13.5">
      <c r="A36" s="297" t="s">
        <v>78</v>
      </c>
      <c r="B36" s="297"/>
      <c r="C36" s="297"/>
      <c r="D36" s="297"/>
      <c r="E36" s="297"/>
      <c r="F36" s="297"/>
      <c r="G36" s="297"/>
      <c r="H36" s="297"/>
      <c r="I36" s="297"/>
      <c r="J36" s="297"/>
      <c r="K36" s="297"/>
      <c r="L36" s="22"/>
    </row>
    <row r="37" spans="1:12" ht="20.25" thickBot="1">
      <c r="A37" s="282"/>
      <c r="B37" s="282"/>
      <c r="C37" s="282"/>
      <c r="D37" s="282"/>
      <c r="E37" s="282"/>
      <c r="F37" s="282"/>
      <c r="G37" s="282"/>
      <c r="H37" s="282"/>
      <c r="I37" s="282"/>
      <c r="J37" s="282"/>
      <c r="K37" s="282"/>
    </row>
    <row r="38" spans="1:12" ht="28.5" thickTop="1" thickBot="1">
      <c r="A38" s="287" t="s">
        <v>69</v>
      </c>
      <c r="B38" s="288" t="s">
        <v>1</v>
      </c>
      <c r="C38" s="289" t="s">
        <v>19</v>
      </c>
      <c r="D38" s="290" t="s">
        <v>20</v>
      </c>
      <c r="E38" s="290" t="s">
        <v>21</v>
      </c>
      <c r="F38" s="303" t="s">
        <v>173</v>
      </c>
      <c r="G38" s="303" t="s">
        <v>174</v>
      </c>
      <c r="H38" s="303" t="s">
        <v>175</v>
      </c>
      <c r="I38" s="1172" t="s">
        <v>176</v>
      </c>
      <c r="J38" s="1173"/>
      <c r="K38" s="1173"/>
    </row>
    <row r="39" spans="1:12" ht="19.5">
      <c r="A39" s="299" t="s">
        <v>2</v>
      </c>
      <c r="B39" s="804">
        <v>3132</v>
      </c>
      <c r="C39" s="805">
        <v>1481</v>
      </c>
      <c r="D39" s="806">
        <v>48</v>
      </c>
      <c r="E39" s="806">
        <v>259</v>
      </c>
      <c r="F39" s="806">
        <v>0</v>
      </c>
      <c r="G39" s="806">
        <v>0</v>
      </c>
      <c r="H39" s="806">
        <v>1344</v>
      </c>
      <c r="I39" s="1174"/>
      <c r="J39" s="1175"/>
      <c r="K39" s="1175"/>
    </row>
    <row r="40" spans="1:12" ht="19.5">
      <c r="A40" s="300" t="s">
        <v>71</v>
      </c>
      <c r="B40" s="808">
        <v>155</v>
      </c>
      <c r="C40" s="809">
        <v>74</v>
      </c>
      <c r="D40" s="810">
        <v>6</v>
      </c>
      <c r="E40" s="810">
        <v>74</v>
      </c>
      <c r="F40" s="810">
        <v>0</v>
      </c>
      <c r="G40" s="810">
        <v>0</v>
      </c>
      <c r="H40" s="810">
        <v>1</v>
      </c>
      <c r="I40" s="1132" t="s">
        <v>177</v>
      </c>
      <c r="J40" s="1133"/>
      <c r="K40" s="1133"/>
    </row>
    <row r="41" spans="1:12" ht="19.5">
      <c r="A41" s="301" t="s">
        <v>72</v>
      </c>
      <c r="B41" s="812">
        <v>2975</v>
      </c>
      <c r="C41" s="813">
        <v>1406</v>
      </c>
      <c r="D41" s="814">
        <v>42</v>
      </c>
      <c r="E41" s="814">
        <v>184</v>
      </c>
      <c r="F41" s="814">
        <v>0</v>
      </c>
      <c r="G41" s="814">
        <v>0</v>
      </c>
      <c r="H41" s="814">
        <v>1343</v>
      </c>
      <c r="I41" s="1124" t="s">
        <v>178</v>
      </c>
      <c r="J41" s="1125"/>
      <c r="K41" s="1125"/>
    </row>
    <row r="42" spans="1:12" ht="20.25" thickBot="1">
      <c r="A42" s="302" t="s">
        <v>73</v>
      </c>
      <c r="B42" s="816">
        <v>2</v>
      </c>
      <c r="C42" s="817">
        <v>1</v>
      </c>
      <c r="D42" s="818">
        <v>0</v>
      </c>
      <c r="E42" s="818">
        <v>1</v>
      </c>
      <c r="F42" s="818">
        <v>0</v>
      </c>
      <c r="G42" s="818">
        <v>0</v>
      </c>
      <c r="H42" s="818">
        <v>0</v>
      </c>
      <c r="I42" s="1126" t="s">
        <v>179</v>
      </c>
      <c r="J42" s="1127"/>
      <c r="K42" s="1127"/>
    </row>
    <row r="43" spans="1:12" ht="20.25" thickTop="1">
      <c r="A43" s="304" t="s">
        <v>86</v>
      </c>
      <c r="B43" s="305"/>
      <c r="C43" s="305"/>
      <c r="D43" s="305"/>
      <c r="E43" s="305"/>
      <c r="F43" s="305"/>
      <c r="G43" s="305"/>
      <c r="H43" s="305"/>
      <c r="I43" s="305"/>
      <c r="J43" s="305"/>
      <c r="K43" s="305"/>
    </row>
    <row r="44" spans="1:12" ht="19.5"/>
    <row r="45" spans="1:12" ht="19.5"/>
    <row r="46" spans="1:12" ht="19.5"/>
    <row r="47" spans="1:12" ht="19.5"/>
    <row r="48" spans="1:12" ht="19.5"/>
    <row r="49" ht="19.5"/>
    <row r="50" ht="19.5"/>
  </sheetData>
  <mergeCells count="3">
    <mergeCell ref="A2:K2"/>
    <mergeCell ref="I6:K6"/>
    <mergeCell ref="D3:F3"/>
  </mergeCells>
  <phoneticPr fontId="3" type="noConversion"/>
  <printOptions horizontalCentered="1"/>
  <pageMargins left="0.31496062992125984" right="0.31496062992125984" top="0.94488188976377963" bottom="0.51181102362204722" header="0.70866141732283472" footer="0.31496062992125984"/>
  <pageSetup paperSize="9" scale="67" fitToWidth="0" fitToHeight="0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L50"/>
  <sheetViews>
    <sheetView showGridLines="0" zoomScale="85" zoomScaleNormal="85" zoomScaleSheetLayoutView="70" workbookViewId="0">
      <selection activeCell="B8" sqref="B8:B11"/>
    </sheetView>
  </sheetViews>
  <sheetFormatPr defaultColWidth="16.42578125" defaultRowHeight="39.950000000000003" customHeight="1"/>
  <cols>
    <col min="1" max="1" width="15.5703125" style="7" customWidth="1"/>
    <col min="2" max="2" width="14.42578125" style="7" customWidth="1"/>
    <col min="3" max="6" width="10.42578125" style="7" customWidth="1"/>
    <col min="7" max="7" width="12.140625" style="7" customWidth="1"/>
    <col min="8" max="10" width="10.42578125" style="7" customWidth="1"/>
    <col min="11" max="11" width="16.28515625" style="7" customWidth="1"/>
    <col min="12" max="12" width="1.28515625" style="7" customWidth="1"/>
    <col min="13" max="16384" width="16.42578125" style="7"/>
  </cols>
  <sheetData>
    <row r="1" spans="1:12" s="2" customFormat="1" ht="25.5">
      <c r="A1" s="306"/>
      <c r="B1" s="306"/>
      <c r="C1" s="306"/>
      <c r="D1" s="306"/>
      <c r="E1" s="306"/>
      <c r="F1" s="306"/>
      <c r="G1" s="306"/>
      <c r="H1" s="306"/>
      <c r="I1" s="306"/>
      <c r="J1" s="306"/>
      <c r="K1" s="306"/>
      <c r="L1" s="1"/>
    </row>
    <row r="2" spans="1:12" s="2" customFormat="1" ht="26.25">
      <c r="A2" s="1347" t="s">
        <v>67</v>
      </c>
      <c r="B2" s="1347"/>
      <c r="C2" s="1347"/>
      <c r="D2" s="1347"/>
      <c r="E2" s="1347"/>
      <c r="F2" s="1347"/>
      <c r="G2" s="1347"/>
      <c r="H2" s="1347"/>
      <c r="I2" s="1347"/>
      <c r="J2" s="1347"/>
      <c r="K2" s="1347"/>
      <c r="L2" s="1"/>
    </row>
    <row r="3" spans="1:12" s="2" customFormat="1" ht="25.5">
      <c r="A3" s="307"/>
      <c r="B3" s="308"/>
      <c r="C3" s="308"/>
      <c r="D3" s="1349" t="s">
        <v>101</v>
      </c>
      <c r="E3" s="1349"/>
      <c r="F3" s="1349"/>
      <c r="G3" s="308"/>
      <c r="H3" s="308"/>
      <c r="I3" s="308"/>
      <c r="J3" s="308"/>
      <c r="K3" s="308"/>
      <c r="L3" s="1"/>
    </row>
    <row r="4" spans="1:12" s="2" customFormat="1" ht="25.5">
      <c r="A4" s="307"/>
      <c r="B4" s="308"/>
      <c r="C4" s="308"/>
      <c r="D4" s="309"/>
      <c r="E4" s="309"/>
      <c r="F4" s="309"/>
      <c r="G4" s="308"/>
      <c r="H4" s="308"/>
      <c r="I4" s="308"/>
      <c r="J4" s="308"/>
      <c r="K4" s="308"/>
      <c r="L4" s="1"/>
    </row>
    <row r="5" spans="1:12" s="2" customFormat="1" ht="25.5">
      <c r="A5" s="310" t="s">
        <v>87</v>
      </c>
      <c r="B5" s="306"/>
      <c r="C5" s="306"/>
      <c r="D5" s="306"/>
      <c r="E5" s="306"/>
      <c r="F5" s="306"/>
      <c r="G5" s="306"/>
      <c r="H5" s="306"/>
      <c r="I5" s="306"/>
      <c r="J5" s="306"/>
      <c r="K5" s="306"/>
      <c r="L5" s="1"/>
    </row>
    <row r="6" spans="1:12" s="4" customFormat="1" ht="21" thickBot="1">
      <c r="A6" s="306"/>
      <c r="B6" s="306"/>
      <c r="C6" s="306"/>
      <c r="D6" s="306"/>
      <c r="E6" s="306"/>
      <c r="F6" s="306"/>
      <c r="G6" s="306"/>
      <c r="H6" s="306"/>
      <c r="I6" s="1348" t="s">
        <v>192</v>
      </c>
      <c r="J6" s="1348"/>
      <c r="K6" s="1348"/>
      <c r="L6" s="3"/>
    </row>
    <row r="7" spans="1:12" s="5" customFormat="1" ht="21.75" thickTop="1" thickBot="1">
      <c r="A7" s="311" t="s">
        <v>69</v>
      </c>
      <c r="B7" s="312" t="s">
        <v>1</v>
      </c>
      <c r="C7" s="314" t="s">
        <v>11</v>
      </c>
      <c r="D7" s="314" t="s">
        <v>12</v>
      </c>
      <c r="E7" s="314" t="s">
        <v>13</v>
      </c>
      <c r="F7" s="314" t="s">
        <v>14</v>
      </c>
      <c r="G7" s="314" t="s">
        <v>15</v>
      </c>
      <c r="H7" s="314" t="s">
        <v>16</v>
      </c>
      <c r="I7" s="314" t="s">
        <v>17</v>
      </c>
      <c r="J7" s="314" t="s">
        <v>18</v>
      </c>
      <c r="K7" s="315" t="s">
        <v>166</v>
      </c>
      <c r="L7" s="6"/>
    </row>
    <row r="8" spans="1:12" ht="19.5">
      <c r="A8" s="316" t="s">
        <v>2</v>
      </c>
      <c r="B8" s="820">
        <v>7952</v>
      </c>
      <c r="C8" s="821">
        <v>0</v>
      </c>
      <c r="D8" s="821">
        <v>0</v>
      </c>
      <c r="E8" s="821">
        <v>86</v>
      </c>
      <c r="F8" s="821">
        <v>3902</v>
      </c>
      <c r="G8" s="821">
        <v>2454</v>
      </c>
      <c r="H8" s="821">
        <v>286</v>
      </c>
      <c r="I8" s="821">
        <v>693</v>
      </c>
      <c r="J8" s="821">
        <v>493</v>
      </c>
      <c r="K8" s="822">
        <v>38</v>
      </c>
      <c r="L8" s="8"/>
    </row>
    <row r="9" spans="1:12" s="10" customFormat="1" ht="17.25">
      <c r="A9" s="317" t="s">
        <v>71</v>
      </c>
      <c r="B9" s="823">
        <v>1282</v>
      </c>
      <c r="C9" s="824">
        <v>0</v>
      </c>
      <c r="D9" s="824">
        <v>0</v>
      </c>
      <c r="E9" s="824">
        <v>0</v>
      </c>
      <c r="F9" s="824">
        <v>0</v>
      </c>
      <c r="G9" s="824">
        <v>4</v>
      </c>
      <c r="H9" s="824">
        <v>98</v>
      </c>
      <c r="I9" s="824">
        <v>652</v>
      </c>
      <c r="J9" s="824">
        <v>490</v>
      </c>
      <c r="K9" s="825">
        <v>38</v>
      </c>
      <c r="L9" s="9"/>
    </row>
    <row r="10" spans="1:12" s="12" customFormat="1" ht="17.25">
      <c r="A10" s="318" t="s">
        <v>72</v>
      </c>
      <c r="B10" s="826">
        <v>6657</v>
      </c>
      <c r="C10" s="827">
        <v>0</v>
      </c>
      <c r="D10" s="827">
        <v>0</v>
      </c>
      <c r="E10" s="827">
        <v>86</v>
      </c>
      <c r="F10" s="827">
        <v>3902</v>
      </c>
      <c r="G10" s="827">
        <v>2450</v>
      </c>
      <c r="H10" s="827">
        <v>188</v>
      </c>
      <c r="I10" s="827">
        <v>30</v>
      </c>
      <c r="J10" s="827">
        <v>1</v>
      </c>
      <c r="K10" s="828">
        <v>0</v>
      </c>
      <c r="L10" s="11"/>
    </row>
    <row r="11" spans="1:12" s="12" customFormat="1" ht="18" thickBot="1">
      <c r="A11" s="319" t="s">
        <v>73</v>
      </c>
      <c r="B11" s="829">
        <v>13</v>
      </c>
      <c r="C11" s="830">
        <v>0</v>
      </c>
      <c r="D11" s="830">
        <v>0</v>
      </c>
      <c r="E11" s="830">
        <v>0</v>
      </c>
      <c r="F11" s="830">
        <v>0</v>
      </c>
      <c r="G11" s="830">
        <v>0</v>
      </c>
      <c r="H11" s="830">
        <v>0</v>
      </c>
      <c r="I11" s="830">
        <v>11</v>
      </c>
      <c r="J11" s="830">
        <v>2</v>
      </c>
      <c r="K11" s="831">
        <v>0</v>
      </c>
      <c r="L11" s="11"/>
    </row>
    <row r="12" spans="1:12" s="12" customFormat="1" ht="18" thickTop="1">
      <c r="A12" s="320" t="s">
        <v>74</v>
      </c>
      <c r="B12" s="306"/>
      <c r="C12" s="306"/>
      <c r="D12" s="306"/>
      <c r="E12" s="306"/>
      <c r="F12" s="306"/>
      <c r="G12" s="306"/>
      <c r="H12" s="306"/>
      <c r="I12" s="306"/>
      <c r="J12" s="306"/>
      <c r="K12" s="306"/>
      <c r="L12" s="11"/>
    </row>
    <row r="13" spans="1:12" s="12" customFormat="1" ht="17.25">
      <c r="A13" s="306"/>
      <c r="B13" s="306"/>
      <c r="C13" s="306"/>
      <c r="D13" s="306"/>
      <c r="E13" s="306"/>
      <c r="F13" s="306"/>
      <c r="G13" s="306"/>
      <c r="H13" s="306"/>
      <c r="I13" s="306"/>
      <c r="J13" s="306"/>
      <c r="K13" s="306"/>
      <c r="L13" s="11"/>
    </row>
    <row r="14" spans="1:12" s="13" customFormat="1" ht="16.5">
      <c r="A14" s="306"/>
      <c r="B14" s="306"/>
      <c r="C14" s="306"/>
      <c r="D14" s="306"/>
      <c r="E14" s="306"/>
      <c r="F14" s="306"/>
      <c r="G14" s="306"/>
      <c r="H14" s="306"/>
      <c r="I14" s="306"/>
      <c r="J14" s="306"/>
      <c r="K14" s="306"/>
      <c r="L14" s="14"/>
    </row>
    <row r="15" spans="1:12" s="15" customFormat="1" ht="13.5">
      <c r="A15" s="321" t="s">
        <v>88</v>
      </c>
      <c r="B15" s="321"/>
      <c r="C15" s="321"/>
      <c r="D15" s="321"/>
      <c r="E15" s="321"/>
      <c r="F15" s="321"/>
      <c r="G15" s="321"/>
      <c r="H15" s="321"/>
      <c r="I15" s="321"/>
      <c r="J15" s="321"/>
      <c r="K15" s="321"/>
      <c r="L15" s="16"/>
    </row>
    <row r="16" spans="1:12" s="10" customFormat="1" ht="17.25">
      <c r="A16" s="321" t="s">
        <v>75</v>
      </c>
      <c r="B16" s="321"/>
      <c r="C16" s="321"/>
      <c r="D16" s="321"/>
      <c r="E16" s="321"/>
      <c r="F16" s="321"/>
      <c r="G16" s="321"/>
      <c r="H16" s="321"/>
      <c r="I16" s="321"/>
      <c r="J16" s="321"/>
      <c r="K16" s="321"/>
      <c r="L16" s="9"/>
    </row>
    <row r="17" spans="1:12" s="10" customFormat="1" ht="18" thickBot="1">
      <c r="A17" s="322"/>
      <c r="B17" s="306"/>
      <c r="C17" s="306"/>
      <c r="D17" s="306"/>
      <c r="E17" s="306"/>
      <c r="F17" s="306"/>
      <c r="G17" s="306"/>
      <c r="H17" s="306"/>
      <c r="I17" s="306"/>
      <c r="J17" s="306"/>
      <c r="K17" s="306"/>
      <c r="L17" s="9"/>
    </row>
    <row r="18" spans="1:12" s="12" customFormat="1" ht="18.75" thickTop="1" thickBot="1">
      <c r="A18" s="311" t="s">
        <v>69</v>
      </c>
      <c r="B18" s="312" t="s">
        <v>1</v>
      </c>
      <c r="C18" s="314" t="s">
        <v>11</v>
      </c>
      <c r="D18" s="314" t="s">
        <v>12</v>
      </c>
      <c r="E18" s="314" t="s">
        <v>13</v>
      </c>
      <c r="F18" s="314" t="s">
        <v>14</v>
      </c>
      <c r="G18" s="314" t="s">
        <v>15</v>
      </c>
      <c r="H18" s="314" t="s">
        <v>16</v>
      </c>
      <c r="I18" s="314" t="s">
        <v>17</v>
      </c>
      <c r="J18" s="314" t="s">
        <v>18</v>
      </c>
      <c r="K18" s="1176" t="s">
        <v>166</v>
      </c>
      <c r="L18" s="11"/>
    </row>
    <row r="19" spans="1:12" s="12" customFormat="1" ht="17.25">
      <c r="A19" s="323" t="s">
        <v>2</v>
      </c>
      <c r="B19" s="832">
        <v>4326</v>
      </c>
      <c r="C19" s="834">
        <v>0</v>
      </c>
      <c r="D19" s="834">
        <v>0</v>
      </c>
      <c r="E19" s="834">
        <v>42</v>
      </c>
      <c r="F19" s="834">
        <v>1948</v>
      </c>
      <c r="G19" s="834">
        <v>1116</v>
      </c>
      <c r="H19" s="834">
        <v>179</v>
      </c>
      <c r="I19" s="834">
        <v>593</v>
      </c>
      <c r="J19" s="834">
        <v>413</v>
      </c>
      <c r="K19" s="835">
        <v>35</v>
      </c>
      <c r="L19" s="11"/>
    </row>
    <row r="20" spans="1:12" s="12" customFormat="1" ht="17.25">
      <c r="A20" s="324" t="s">
        <v>71</v>
      </c>
      <c r="B20" s="836">
        <v>1120</v>
      </c>
      <c r="C20" s="838">
        <v>0</v>
      </c>
      <c r="D20" s="838">
        <v>0</v>
      </c>
      <c r="E20" s="838">
        <v>0</v>
      </c>
      <c r="F20" s="838">
        <v>0</v>
      </c>
      <c r="G20" s="838">
        <v>4</v>
      </c>
      <c r="H20" s="838">
        <v>96</v>
      </c>
      <c r="I20" s="838">
        <v>573</v>
      </c>
      <c r="J20" s="838">
        <v>412</v>
      </c>
      <c r="K20" s="839">
        <v>35</v>
      </c>
      <c r="L20" s="11"/>
    </row>
    <row r="21" spans="1:12" s="12" customFormat="1" ht="17.25">
      <c r="A21" s="325" t="s">
        <v>72</v>
      </c>
      <c r="B21" s="840">
        <v>3199</v>
      </c>
      <c r="C21" s="842">
        <v>0</v>
      </c>
      <c r="D21" s="842">
        <v>0</v>
      </c>
      <c r="E21" s="842">
        <v>42</v>
      </c>
      <c r="F21" s="842">
        <v>1948</v>
      </c>
      <c r="G21" s="842">
        <v>1112</v>
      </c>
      <c r="H21" s="842">
        <v>83</v>
      </c>
      <c r="I21" s="842">
        <v>13</v>
      </c>
      <c r="J21" s="842">
        <v>1</v>
      </c>
      <c r="K21" s="843">
        <v>0</v>
      </c>
      <c r="L21" s="11"/>
    </row>
    <row r="22" spans="1:12" s="17" customFormat="1" ht="20.25" thickBot="1">
      <c r="A22" s="326" t="s">
        <v>73</v>
      </c>
      <c r="B22" s="844">
        <v>7</v>
      </c>
      <c r="C22" s="846">
        <v>0</v>
      </c>
      <c r="D22" s="846">
        <v>0</v>
      </c>
      <c r="E22" s="846">
        <v>0</v>
      </c>
      <c r="F22" s="846">
        <v>0</v>
      </c>
      <c r="G22" s="846">
        <v>0</v>
      </c>
      <c r="H22" s="846">
        <v>0</v>
      </c>
      <c r="I22" s="846">
        <v>7</v>
      </c>
      <c r="J22" s="846">
        <v>0</v>
      </c>
      <c r="K22" s="847">
        <v>0</v>
      </c>
      <c r="L22" s="8"/>
    </row>
    <row r="23" spans="1:12" s="18" customFormat="1" ht="18" thickTop="1">
      <c r="A23" s="306"/>
      <c r="B23" s="306"/>
      <c r="C23" s="306"/>
      <c r="D23" s="306"/>
      <c r="E23" s="306"/>
      <c r="F23" s="306"/>
      <c r="G23" s="306"/>
      <c r="H23" s="306"/>
      <c r="I23" s="306"/>
      <c r="J23" s="306"/>
      <c r="K23" s="306"/>
      <c r="L23" s="9"/>
    </row>
    <row r="24" spans="1:12" s="10" customFormat="1" ht="17.25">
      <c r="A24" s="306"/>
      <c r="B24" s="306"/>
      <c r="C24" s="306"/>
      <c r="D24" s="306"/>
      <c r="E24" s="306"/>
      <c r="F24" s="306"/>
      <c r="G24" s="306"/>
      <c r="H24" s="306"/>
      <c r="I24" s="306"/>
      <c r="J24" s="306"/>
      <c r="K24" s="306"/>
      <c r="L24" s="9"/>
    </row>
    <row r="25" spans="1:12" s="12" customFormat="1" ht="17.25">
      <c r="A25" s="321" t="s">
        <v>89</v>
      </c>
      <c r="B25" s="321"/>
      <c r="C25" s="321"/>
      <c r="D25" s="321"/>
      <c r="E25" s="321"/>
      <c r="F25" s="321"/>
      <c r="G25" s="321"/>
      <c r="H25" s="321"/>
      <c r="I25" s="321"/>
      <c r="J25" s="321"/>
      <c r="K25" s="321"/>
      <c r="L25" s="11"/>
    </row>
    <row r="26" spans="1:12" s="12" customFormat="1" ht="17.25">
      <c r="A26" s="321" t="s">
        <v>76</v>
      </c>
      <c r="B26" s="321"/>
      <c r="C26" s="321"/>
      <c r="D26" s="321"/>
      <c r="E26" s="321"/>
      <c r="F26" s="321"/>
      <c r="G26" s="321"/>
      <c r="H26" s="321"/>
      <c r="I26" s="321"/>
      <c r="J26" s="321"/>
      <c r="K26" s="321"/>
      <c r="L26" s="11"/>
    </row>
    <row r="27" spans="1:12" s="12" customFormat="1" ht="18" thickBot="1">
      <c r="A27" s="322"/>
      <c r="B27" s="306"/>
      <c r="C27" s="306"/>
      <c r="D27" s="306"/>
      <c r="E27" s="306"/>
      <c r="F27" s="306"/>
      <c r="G27" s="306"/>
      <c r="H27" s="306"/>
      <c r="I27" s="306"/>
      <c r="J27" s="306"/>
      <c r="K27" s="306"/>
      <c r="L27" s="11"/>
    </row>
    <row r="28" spans="1:12" s="12" customFormat="1" ht="18.75" thickTop="1" thickBot="1">
      <c r="A28" s="311" t="s">
        <v>69</v>
      </c>
      <c r="B28" s="312" t="s">
        <v>1</v>
      </c>
      <c r="C28" s="314" t="s">
        <v>11</v>
      </c>
      <c r="D28" s="314" t="s">
        <v>12</v>
      </c>
      <c r="E28" s="314" t="s">
        <v>13</v>
      </c>
      <c r="F28" s="314" t="s">
        <v>14</v>
      </c>
      <c r="G28" s="314" t="s">
        <v>15</v>
      </c>
      <c r="H28" s="314" t="s">
        <v>16</v>
      </c>
      <c r="I28" s="314" t="s">
        <v>17</v>
      </c>
      <c r="J28" s="314" t="s">
        <v>18</v>
      </c>
      <c r="K28" s="1176" t="s">
        <v>166</v>
      </c>
      <c r="L28" s="11"/>
    </row>
    <row r="29" spans="1:12" ht="19.5">
      <c r="A29" s="323" t="s">
        <v>2</v>
      </c>
      <c r="B29" s="832">
        <v>3626</v>
      </c>
      <c r="C29" s="834">
        <v>0</v>
      </c>
      <c r="D29" s="834">
        <v>0</v>
      </c>
      <c r="E29" s="834">
        <v>44</v>
      </c>
      <c r="F29" s="834">
        <v>1954</v>
      </c>
      <c r="G29" s="834">
        <v>1338</v>
      </c>
      <c r="H29" s="834">
        <v>107</v>
      </c>
      <c r="I29" s="834">
        <v>100</v>
      </c>
      <c r="J29" s="834">
        <v>80</v>
      </c>
      <c r="K29" s="835">
        <v>3</v>
      </c>
      <c r="L29" s="8"/>
    </row>
    <row r="30" spans="1:12" s="20" customFormat="1" ht="19.5">
      <c r="A30" s="324" t="s">
        <v>71</v>
      </c>
      <c r="B30" s="836">
        <v>162</v>
      </c>
      <c r="C30" s="838">
        <v>0</v>
      </c>
      <c r="D30" s="838">
        <v>0</v>
      </c>
      <c r="E30" s="838">
        <v>0</v>
      </c>
      <c r="F30" s="838">
        <v>0</v>
      </c>
      <c r="G30" s="838">
        <v>0</v>
      </c>
      <c r="H30" s="838">
        <v>2</v>
      </c>
      <c r="I30" s="838">
        <v>79</v>
      </c>
      <c r="J30" s="838">
        <v>78</v>
      </c>
      <c r="K30" s="839">
        <v>3</v>
      </c>
      <c r="L30" s="19"/>
    </row>
    <row r="31" spans="1:12" s="21" customFormat="1" ht="17.25">
      <c r="A31" s="325" t="s">
        <v>72</v>
      </c>
      <c r="B31" s="840">
        <v>3458</v>
      </c>
      <c r="C31" s="842">
        <v>0</v>
      </c>
      <c r="D31" s="842">
        <v>0</v>
      </c>
      <c r="E31" s="842">
        <v>44</v>
      </c>
      <c r="F31" s="842">
        <v>1954</v>
      </c>
      <c r="G31" s="842">
        <v>1338</v>
      </c>
      <c r="H31" s="842">
        <v>105</v>
      </c>
      <c r="I31" s="842">
        <v>17</v>
      </c>
      <c r="J31" s="842">
        <v>0</v>
      </c>
      <c r="K31" s="843">
        <v>0</v>
      </c>
      <c r="L31" s="16"/>
    </row>
    <row r="32" spans="1:12" s="12" customFormat="1" ht="18" thickBot="1">
      <c r="A32" s="326" t="s">
        <v>73</v>
      </c>
      <c r="B32" s="844">
        <v>6</v>
      </c>
      <c r="C32" s="846">
        <v>0</v>
      </c>
      <c r="D32" s="846">
        <v>0</v>
      </c>
      <c r="E32" s="846">
        <v>0</v>
      </c>
      <c r="F32" s="846">
        <v>0</v>
      </c>
      <c r="G32" s="846">
        <v>0</v>
      </c>
      <c r="H32" s="846">
        <v>0</v>
      </c>
      <c r="I32" s="846">
        <v>4</v>
      </c>
      <c r="J32" s="846">
        <v>2</v>
      </c>
      <c r="K32" s="847">
        <v>0</v>
      </c>
      <c r="L32" s="16"/>
    </row>
    <row r="33" spans="1:12" s="12" customFormat="1" ht="18" thickTop="1">
      <c r="A33" s="306"/>
      <c r="B33" s="306"/>
      <c r="C33" s="306"/>
      <c r="D33" s="306"/>
      <c r="E33" s="306"/>
      <c r="F33" s="306"/>
      <c r="G33" s="306"/>
      <c r="H33" s="306"/>
      <c r="I33" s="306"/>
      <c r="J33" s="306"/>
      <c r="K33" s="306"/>
      <c r="L33" s="16"/>
    </row>
    <row r="34" spans="1:12" s="12" customFormat="1" ht="17.25">
      <c r="A34" s="306"/>
      <c r="B34" s="306"/>
      <c r="C34" s="306"/>
      <c r="D34" s="306"/>
      <c r="E34" s="306"/>
      <c r="F34" s="306"/>
      <c r="G34" s="306"/>
      <c r="H34" s="306"/>
      <c r="I34" s="306"/>
      <c r="J34" s="306"/>
      <c r="K34" s="306"/>
      <c r="L34" s="16"/>
    </row>
    <row r="35" spans="1:12" s="15" customFormat="1" ht="17.25">
      <c r="A35" s="310" t="s">
        <v>77</v>
      </c>
      <c r="B35" s="306"/>
      <c r="C35" s="306"/>
      <c r="D35" s="306"/>
      <c r="E35" s="306"/>
      <c r="F35" s="306"/>
      <c r="G35" s="306"/>
      <c r="H35" s="306"/>
      <c r="I35" s="306"/>
      <c r="J35" s="306"/>
      <c r="K35" s="306"/>
      <c r="L35" s="16"/>
    </row>
    <row r="36" spans="1:12" s="23" customFormat="1" ht="13.5">
      <c r="A36" s="321" t="s">
        <v>78</v>
      </c>
      <c r="B36" s="321"/>
      <c r="C36" s="321"/>
      <c r="D36" s="321"/>
      <c r="E36" s="321"/>
      <c r="F36" s="321"/>
      <c r="G36" s="321"/>
      <c r="H36" s="321"/>
      <c r="I36" s="321"/>
      <c r="J36" s="321"/>
      <c r="K36" s="321"/>
      <c r="L36" s="22"/>
    </row>
    <row r="37" spans="1:12" ht="20.25" thickBot="1">
      <c r="A37" s="306"/>
      <c r="B37" s="306"/>
      <c r="C37" s="306"/>
      <c r="D37" s="306"/>
      <c r="E37" s="306"/>
      <c r="F37" s="306"/>
      <c r="G37" s="306"/>
      <c r="H37" s="306"/>
      <c r="I37" s="306"/>
      <c r="J37" s="306"/>
      <c r="K37" s="306"/>
    </row>
    <row r="38" spans="1:12" ht="28.5" thickTop="1" thickBot="1">
      <c r="A38" s="311" t="s">
        <v>69</v>
      </c>
      <c r="B38" s="312" t="s">
        <v>1</v>
      </c>
      <c r="C38" s="313" t="s">
        <v>19</v>
      </c>
      <c r="D38" s="314" t="s">
        <v>20</v>
      </c>
      <c r="E38" s="314" t="s">
        <v>21</v>
      </c>
      <c r="F38" s="327" t="s">
        <v>173</v>
      </c>
      <c r="G38" s="327" t="s">
        <v>174</v>
      </c>
      <c r="H38" s="327" t="s">
        <v>175</v>
      </c>
      <c r="I38" s="1176" t="s">
        <v>176</v>
      </c>
      <c r="J38" s="1177"/>
      <c r="K38" s="1177"/>
    </row>
    <row r="39" spans="1:12" ht="19.5">
      <c r="A39" s="323" t="s">
        <v>2</v>
      </c>
      <c r="B39" s="832">
        <v>4507</v>
      </c>
      <c r="C39" s="833">
        <v>2196</v>
      </c>
      <c r="D39" s="834">
        <v>65</v>
      </c>
      <c r="E39" s="834">
        <v>294</v>
      </c>
      <c r="F39" s="834">
        <v>0</v>
      </c>
      <c r="G39" s="834">
        <v>0</v>
      </c>
      <c r="H39" s="834">
        <v>1952</v>
      </c>
      <c r="I39" s="1178"/>
      <c r="J39" s="1179"/>
      <c r="K39" s="1179"/>
    </row>
    <row r="40" spans="1:12" ht="19.5">
      <c r="A40" s="324" t="s">
        <v>71</v>
      </c>
      <c r="B40" s="836">
        <v>177</v>
      </c>
      <c r="C40" s="837">
        <v>81</v>
      </c>
      <c r="D40" s="838">
        <v>9</v>
      </c>
      <c r="E40" s="838">
        <v>87</v>
      </c>
      <c r="F40" s="838">
        <v>0</v>
      </c>
      <c r="G40" s="838">
        <v>0</v>
      </c>
      <c r="H40" s="838">
        <v>0</v>
      </c>
      <c r="I40" s="1132" t="s">
        <v>177</v>
      </c>
      <c r="J40" s="1133"/>
      <c r="K40" s="1133"/>
    </row>
    <row r="41" spans="1:12" ht="19.5">
      <c r="A41" s="325" t="s">
        <v>72</v>
      </c>
      <c r="B41" s="840">
        <v>4324</v>
      </c>
      <c r="C41" s="841">
        <v>2114</v>
      </c>
      <c r="D41" s="842">
        <v>56</v>
      </c>
      <c r="E41" s="842">
        <v>205</v>
      </c>
      <c r="F41" s="842">
        <v>0</v>
      </c>
      <c r="G41" s="842">
        <v>0</v>
      </c>
      <c r="H41" s="842">
        <v>1949</v>
      </c>
      <c r="I41" s="1124" t="s">
        <v>178</v>
      </c>
      <c r="J41" s="1125"/>
      <c r="K41" s="1125"/>
    </row>
    <row r="42" spans="1:12" ht="20.25" thickBot="1">
      <c r="A42" s="326" t="s">
        <v>73</v>
      </c>
      <c r="B42" s="844">
        <v>6</v>
      </c>
      <c r="C42" s="845">
        <v>1</v>
      </c>
      <c r="D42" s="846">
        <v>0</v>
      </c>
      <c r="E42" s="846">
        <v>2</v>
      </c>
      <c r="F42" s="846">
        <v>0</v>
      </c>
      <c r="G42" s="846">
        <v>0</v>
      </c>
      <c r="H42" s="846">
        <v>3</v>
      </c>
      <c r="I42" s="1126" t="s">
        <v>179</v>
      </c>
      <c r="J42" s="1127"/>
      <c r="K42" s="1127"/>
    </row>
    <row r="43" spans="1:12" ht="20.25" thickTop="1">
      <c r="A43" s="328" t="s">
        <v>86</v>
      </c>
      <c r="B43" s="329"/>
      <c r="C43" s="329"/>
      <c r="D43" s="329"/>
      <c r="E43" s="329"/>
      <c r="F43" s="329"/>
      <c r="G43" s="329"/>
      <c r="H43" s="329"/>
      <c r="I43" s="329"/>
      <c r="J43" s="329"/>
      <c r="K43" s="329"/>
    </row>
    <row r="44" spans="1:12" ht="19.5"/>
    <row r="45" spans="1:12" ht="19.5"/>
    <row r="46" spans="1:12" ht="19.5"/>
    <row r="47" spans="1:12" ht="19.5"/>
    <row r="48" spans="1:12" ht="19.5"/>
    <row r="49" ht="19.5"/>
    <row r="50" ht="19.5"/>
  </sheetData>
  <mergeCells count="3">
    <mergeCell ref="A2:K2"/>
    <mergeCell ref="I6:K6"/>
    <mergeCell ref="D3:F3"/>
  </mergeCells>
  <phoneticPr fontId="3" type="noConversion"/>
  <printOptions horizontalCentered="1"/>
  <pageMargins left="0.31496062992125984" right="0.31496062992125984" top="0.94488188976377963" bottom="0.51181102362204722" header="0.70866141732283472" footer="0.31496062992125984"/>
  <pageSetup paperSize="9" scale="67" fitToWidth="0" fitToHeight="0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L50"/>
  <sheetViews>
    <sheetView showGridLines="0" zoomScale="85" zoomScaleNormal="85" zoomScaleSheetLayoutView="70" workbookViewId="0">
      <selection activeCell="B8" sqref="B8:B11"/>
    </sheetView>
  </sheetViews>
  <sheetFormatPr defaultColWidth="16.42578125" defaultRowHeight="39.950000000000003" customHeight="1"/>
  <cols>
    <col min="1" max="1" width="15.5703125" style="7" customWidth="1"/>
    <col min="2" max="2" width="14.42578125" style="7" customWidth="1"/>
    <col min="3" max="6" width="10.42578125" style="7" customWidth="1"/>
    <col min="7" max="7" width="12.140625" style="7" customWidth="1"/>
    <col min="8" max="10" width="10.42578125" style="7" customWidth="1"/>
    <col min="11" max="11" width="16.5703125" style="7" customWidth="1"/>
    <col min="12" max="12" width="1.5703125" style="7" customWidth="1"/>
    <col min="13" max="16384" width="16.42578125" style="7"/>
  </cols>
  <sheetData>
    <row r="1" spans="1:12" s="2" customFormat="1" ht="25.5">
      <c r="A1" s="330"/>
      <c r="B1" s="330"/>
      <c r="C1" s="330"/>
      <c r="D1" s="330"/>
      <c r="E1" s="330"/>
      <c r="F1" s="330"/>
      <c r="G1" s="330"/>
      <c r="H1" s="330"/>
      <c r="I1" s="330"/>
      <c r="J1" s="330"/>
      <c r="K1" s="330"/>
      <c r="L1" s="1"/>
    </row>
    <row r="2" spans="1:12" s="2" customFormat="1" ht="26.25">
      <c r="A2" s="1350" t="s">
        <v>67</v>
      </c>
      <c r="B2" s="1350"/>
      <c r="C2" s="1350"/>
      <c r="D2" s="1350"/>
      <c r="E2" s="1350"/>
      <c r="F2" s="1350"/>
      <c r="G2" s="1350"/>
      <c r="H2" s="1350"/>
      <c r="I2" s="1350"/>
      <c r="J2" s="1350"/>
      <c r="K2" s="1350"/>
      <c r="L2" s="1"/>
    </row>
    <row r="3" spans="1:12" s="2" customFormat="1" ht="25.5">
      <c r="A3" s="331"/>
      <c r="B3" s="332"/>
      <c r="C3" s="332"/>
      <c r="D3" s="1352" t="s">
        <v>102</v>
      </c>
      <c r="E3" s="1352"/>
      <c r="F3" s="1352"/>
      <c r="G3" s="332"/>
      <c r="H3" s="332"/>
      <c r="I3" s="332"/>
      <c r="J3" s="332"/>
      <c r="K3" s="332"/>
      <c r="L3" s="1"/>
    </row>
    <row r="4" spans="1:12" s="2" customFormat="1" ht="25.5">
      <c r="A4" s="331"/>
      <c r="B4" s="332"/>
      <c r="C4" s="332"/>
      <c r="D4" s="333"/>
      <c r="E4" s="333"/>
      <c r="F4" s="333"/>
      <c r="G4" s="332"/>
      <c r="H4" s="332"/>
      <c r="I4" s="332"/>
      <c r="J4" s="332"/>
      <c r="K4" s="332"/>
      <c r="L4" s="1"/>
    </row>
    <row r="5" spans="1:12" s="2" customFormat="1" ht="25.5">
      <c r="A5" s="334" t="s">
        <v>87</v>
      </c>
      <c r="B5" s="330"/>
      <c r="C5" s="330"/>
      <c r="D5" s="330"/>
      <c r="E5" s="330"/>
      <c r="F5" s="330"/>
      <c r="G5" s="330"/>
      <c r="H5" s="330"/>
      <c r="I5" s="330"/>
      <c r="J5" s="330"/>
      <c r="K5" s="330"/>
      <c r="L5" s="1"/>
    </row>
    <row r="6" spans="1:12" s="4" customFormat="1" ht="21" thickBot="1">
      <c r="A6" s="330"/>
      <c r="B6" s="330"/>
      <c r="C6" s="330"/>
      <c r="D6" s="330"/>
      <c r="E6" s="330"/>
      <c r="F6" s="330"/>
      <c r="G6" s="330"/>
      <c r="H6" s="330"/>
      <c r="I6" s="1351" t="s">
        <v>188</v>
      </c>
      <c r="J6" s="1351"/>
      <c r="K6" s="1351"/>
      <c r="L6" s="3"/>
    </row>
    <row r="7" spans="1:12" s="5" customFormat="1" ht="21.75" thickTop="1" thickBot="1">
      <c r="A7" s="335" t="s">
        <v>69</v>
      </c>
      <c r="B7" s="336" t="s">
        <v>1</v>
      </c>
      <c r="C7" s="338" t="s">
        <v>11</v>
      </c>
      <c r="D7" s="338" t="s">
        <v>12</v>
      </c>
      <c r="E7" s="338" t="s">
        <v>13</v>
      </c>
      <c r="F7" s="338" t="s">
        <v>14</v>
      </c>
      <c r="G7" s="338" t="s">
        <v>15</v>
      </c>
      <c r="H7" s="338" t="s">
        <v>16</v>
      </c>
      <c r="I7" s="338" t="s">
        <v>17</v>
      </c>
      <c r="J7" s="338" t="s">
        <v>18</v>
      </c>
      <c r="K7" s="339" t="s">
        <v>166</v>
      </c>
      <c r="L7" s="6"/>
    </row>
    <row r="8" spans="1:12" ht="19.5">
      <c r="A8" s="340" t="s">
        <v>2</v>
      </c>
      <c r="B8" s="848">
        <v>7347</v>
      </c>
      <c r="C8" s="849">
        <v>0</v>
      </c>
      <c r="D8" s="849">
        <v>0</v>
      </c>
      <c r="E8" s="849">
        <v>76</v>
      </c>
      <c r="F8" s="849">
        <v>3706</v>
      </c>
      <c r="G8" s="849">
        <v>2336</v>
      </c>
      <c r="H8" s="849">
        <v>228</v>
      </c>
      <c r="I8" s="849">
        <v>680</v>
      </c>
      <c r="J8" s="849">
        <v>302</v>
      </c>
      <c r="K8" s="850">
        <v>19</v>
      </c>
      <c r="L8" s="8"/>
    </row>
    <row r="9" spans="1:12" s="10" customFormat="1" ht="17.25">
      <c r="A9" s="341" t="s">
        <v>71</v>
      </c>
      <c r="B9" s="851">
        <v>1049</v>
      </c>
      <c r="C9" s="852">
        <v>0</v>
      </c>
      <c r="D9" s="852">
        <v>0</v>
      </c>
      <c r="E9" s="852">
        <v>0</v>
      </c>
      <c r="F9" s="852">
        <v>0</v>
      </c>
      <c r="G9" s="852">
        <v>0</v>
      </c>
      <c r="H9" s="852">
        <v>75</v>
      </c>
      <c r="I9" s="852">
        <v>655</v>
      </c>
      <c r="J9" s="852">
        <v>300</v>
      </c>
      <c r="K9" s="853">
        <v>19</v>
      </c>
      <c r="L9" s="9"/>
    </row>
    <row r="10" spans="1:12" s="12" customFormat="1" ht="17.25">
      <c r="A10" s="342" t="s">
        <v>72</v>
      </c>
      <c r="B10" s="851">
        <v>6290</v>
      </c>
      <c r="C10" s="854">
        <v>0</v>
      </c>
      <c r="D10" s="854">
        <v>0</v>
      </c>
      <c r="E10" s="854">
        <v>76</v>
      </c>
      <c r="F10" s="854">
        <v>3706</v>
      </c>
      <c r="G10" s="854">
        <v>2336</v>
      </c>
      <c r="H10" s="854">
        <v>153</v>
      </c>
      <c r="I10" s="854">
        <v>18</v>
      </c>
      <c r="J10" s="854">
        <v>1</v>
      </c>
      <c r="K10" s="855">
        <v>0</v>
      </c>
      <c r="L10" s="11"/>
    </row>
    <row r="11" spans="1:12" s="12" customFormat="1" ht="18" thickBot="1">
      <c r="A11" s="343" t="s">
        <v>73</v>
      </c>
      <c r="B11" s="1219">
        <v>8</v>
      </c>
      <c r="C11" s="856">
        <v>0</v>
      </c>
      <c r="D11" s="856">
        <v>0</v>
      </c>
      <c r="E11" s="856">
        <v>0</v>
      </c>
      <c r="F11" s="856">
        <v>0</v>
      </c>
      <c r="G11" s="856">
        <v>0</v>
      </c>
      <c r="H11" s="856">
        <v>0</v>
      </c>
      <c r="I11" s="856">
        <v>7</v>
      </c>
      <c r="J11" s="856">
        <v>1</v>
      </c>
      <c r="K11" s="857">
        <v>0</v>
      </c>
      <c r="L11" s="11"/>
    </row>
    <row r="12" spans="1:12" s="12" customFormat="1" ht="18" thickTop="1">
      <c r="A12" s="344" t="s">
        <v>74</v>
      </c>
      <c r="B12" s="330"/>
      <c r="C12" s="330"/>
      <c r="D12" s="330"/>
      <c r="E12" s="330"/>
      <c r="F12" s="330"/>
      <c r="G12" s="330"/>
      <c r="H12" s="330"/>
      <c r="I12" s="330"/>
      <c r="J12" s="330"/>
      <c r="K12" s="330"/>
      <c r="L12" s="11"/>
    </row>
    <row r="13" spans="1:12" s="12" customFormat="1" ht="17.25">
      <c r="A13" s="330"/>
      <c r="B13" s="330"/>
      <c r="C13" s="330"/>
      <c r="D13" s="330"/>
      <c r="E13" s="330"/>
      <c r="F13" s="330"/>
      <c r="G13" s="330"/>
      <c r="H13" s="330"/>
      <c r="I13" s="330"/>
      <c r="J13" s="330"/>
      <c r="K13" s="330"/>
      <c r="L13" s="11"/>
    </row>
    <row r="14" spans="1:12" s="13" customFormat="1" ht="16.5">
      <c r="A14" s="330"/>
      <c r="B14" s="330"/>
      <c r="C14" s="330"/>
      <c r="D14" s="330"/>
      <c r="E14" s="330"/>
      <c r="F14" s="330"/>
      <c r="G14" s="330"/>
      <c r="H14" s="330"/>
      <c r="I14" s="330"/>
      <c r="J14" s="330"/>
      <c r="K14" s="330"/>
      <c r="L14" s="14"/>
    </row>
    <row r="15" spans="1:12" s="15" customFormat="1" ht="13.5">
      <c r="A15" s="345" t="s">
        <v>88</v>
      </c>
      <c r="B15" s="345"/>
      <c r="C15" s="345"/>
      <c r="D15" s="345"/>
      <c r="E15" s="345"/>
      <c r="F15" s="345"/>
      <c r="G15" s="345"/>
      <c r="H15" s="345"/>
      <c r="I15" s="345"/>
      <c r="J15" s="345"/>
      <c r="K15" s="345"/>
      <c r="L15" s="16"/>
    </row>
    <row r="16" spans="1:12" s="10" customFormat="1" ht="17.25">
      <c r="A16" s="345" t="s">
        <v>75</v>
      </c>
      <c r="B16" s="345"/>
      <c r="C16" s="345"/>
      <c r="D16" s="345"/>
      <c r="E16" s="345"/>
      <c r="F16" s="345"/>
      <c r="G16" s="345"/>
      <c r="H16" s="345"/>
      <c r="I16" s="345"/>
      <c r="J16" s="345"/>
      <c r="K16" s="345"/>
      <c r="L16" s="9"/>
    </row>
    <row r="17" spans="1:12" s="10" customFormat="1" ht="18" thickBot="1">
      <c r="A17" s="346"/>
      <c r="B17" s="330"/>
      <c r="C17" s="330"/>
      <c r="D17" s="330"/>
      <c r="E17" s="330"/>
      <c r="F17" s="330"/>
      <c r="G17" s="330"/>
      <c r="H17" s="330"/>
      <c r="I17" s="330"/>
      <c r="J17" s="330"/>
      <c r="K17" s="330"/>
      <c r="L17" s="9"/>
    </row>
    <row r="18" spans="1:12" s="12" customFormat="1" ht="18.75" thickTop="1" thickBot="1">
      <c r="A18" s="335" t="s">
        <v>69</v>
      </c>
      <c r="B18" s="336"/>
      <c r="C18" s="338"/>
      <c r="D18" s="338"/>
      <c r="E18" s="338"/>
      <c r="F18" s="338"/>
      <c r="G18" s="338"/>
      <c r="H18" s="338"/>
      <c r="I18" s="338"/>
      <c r="J18" s="338"/>
      <c r="K18" s="339"/>
      <c r="L18" s="11"/>
    </row>
    <row r="19" spans="1:12" s="12" customFormat="1" ht="17.25">
      <c r="A19" s="347" t="s">
        <v>2</v>
      </c>
      <c r="B19" s="858">
        <v>3491</v>
      </c>
      <c r="C19" s="860">
        <v>0</v>
      </c>
      <c r="D19" s="860">
        <v>0</v>
      </c>
      <c r="E19" s="860">
        <v>29</v>
      </c>
      <c r="F19" s="860">
        <v>1610</v>
      </c>
      <c r="G19" s="860">
        <v>883</v>
      </c>
      <c r="H19" s="860">
        <v>135</v>
      </c>
      <c r="I19" s="860">
        <v>594</v>
      </c>
      <c r="J19" s="860">
        <v>224</v>
      </c>
      <c r="K19" s="861">
        <v>16</v>
      </c>
      <c r="L19" s="11"/>
    </row>
    <row r="20" spans="1:12" s="12" customFormat="1" ht="17.25">
      <c r="A20" s="348" t="s">
        <v>71</v>
      </c>
      <c r="B20" s="862">
        <v>893</v>
      </c>
      <c r="C20" s="864">
        <v>0</v>
      </c>
      <c r="D20" s="864">
        <v>0</v>
      </c>
      <c r="E20" s="864">
        <v>0</v>
      </c>
      <c r="F20" s="864">
        <v>0</v>
      </c>
      <c r="G20" s="864">
        <v>0</v>
      </c>
      <c r="H20" s="864">
        <v>72</v>
      </c>
      <c r="I20" s="864">
        <v>583</v>
      </c>
      <c r="J20" s="864">
        <v>222</v>
      </c>
      <c r="K20" s="865">
        <v>16</v>
      </c>
      <c r="L20" s="11"/>
    </row>
    <row r="21" spans="1:12" s="12" customFormat="1" ht="17.25">
      <c r="A21" s="349" t="s">
        <v>72</v>
      </c>
      <c r="B21" s="862">
        <v>2594</v>
      </c>
      <c r="C21" s="868">
        <v>0</v>
      </c>
      <c r="D21" s="868">
        <v>0</v>
      </c>
      <c r="E21" s="868">
        <v>29</v>
      </c>
      <c r="F21" s="868">
        <v>1610</v>
      </c>
      <c r="G21" s="868">
        <v>883</v>
      </c>
      <c r="H21" s="868">
        <v>63</v>
      </c>
      <c r="I21" s="868">
        <v>8</v>
      </c>
      <c r="J21" s="868">
        <v>1</v>
      </c>
      <c r="K21" s="869">
        <v>0</v>
      </c>
      <c r="L21" s="11"/>
    </row>
    <row r="22" spans="1:12" s="17" customFormat="1" ht="20.25" thickBot="1">
      <c r="A22" s="350" t="s">
        <v>73</v>
      </c>
      <c r="B22" s="870">
        <v>4</v>
      </c>
      <c r="C22" s="872">
        <v>0</v>
      </c>
      <c r="D22" s="872">
        <v>0</v>
      </c>
      <c r="E22" s="872">
        <v>0</v>
      </c>
      <c r="F22" s="872">
        <v>0</v>
      </c>
      <c r="G22" s="872">
        <v>0</v>
      </c>
      <c r="H22" s="872">
        <v>0</v>
      </c>
      <c r="I22" s="872">
        <v>3</v>
      </c>
      <c r="J22" s="872">
        <v>1</v>
      </c>
      <c r="K22" s="873">
        <v>0</v>
      </c>
      <c r="L22" s="8"/>
    </row>
    <row r="23" spans="1:12" s="18" customFormat="1" ht="18" thickTop="1">
      <c r="A23" s="330"/>
      <c r="B23" s="330"/>
      <c r="C23" s="330"/>
      <c r="D23" s="330"/>
      <c r="E23" s="330"/>
      <c r="F23" s="330"/>
      <c r="G23" s="330"/>
      <c r="H23" s="330"/>
      <c r="I23" s="330"/>
      <c r="J23" s="330"/>
      <c r="K23" s="330"/>
      <c r="L23" s="9"/>
    </row>
    <row r="24" spans="1:12" s="10" customFormat="1" ht="17.25">
      <c r="A24" s="330"/>
      <c r="B24" s="330"/>
      <c r="C24" s="330"/>
      <c r="D24" s="330"/>
      <c r="E24" s="330"/>
      <c r="F24" s="330"/>
      <c r="G24" s="330"/>
      <c r="H24" s="330"/>
      <c r="I24" s="330"/>
      <c r="J24" s="330"/>
      <c r="K24" s="330"/>
      <c r="L24" s="9"/>
    </row>
    <row r="25" spans="1:12" s="12" customFormat="1" ht="17.25">
      <c r="A25" s="345" t="s">
        <v>89</v>
      </c>
      <c r="B25" s="345"/>
      <c r="C25" s="345"/>
      <c r="D25" s="345"/>
      <c r="E25" s="345"/>
      <c r="F25" s="345"/>
      <c r="G25" s="345"/>
      <c r="H25" s="345"/>
      <c r="I25" s="345"/>
      <c r="J25" s="345"/>
      <c r="K25" s="345"/>
      <c r="L25" s="11"/>
    </row>
    <row r="26" spans="1:12" s="12" customFormat="1" ht="17.25">
      <c r="A26" s="345" t="s">
        <v>76</v>
      </c>
      <c r="B26" s="345"/>
      <c r="C26" s="345"/>
      <c r="D26" s="345"/>
      <c r="E26" s="345"/>
      <c r="F26" s="345"/>
      <c r="G26" s="345"/>
      <c r="H26" s="345"/>
      <c r="I26" s="345"/>
      <c r="J26" s="345"/>
      <c r="K26" s="345"/>
      <c r="L26" s="11"/>
    </row>
    <row r="27" spans="1:12" s="12" customFormat="1" ht="18" thickBot="1">
      <c r="A27" s="346"/>
      <c r="B27" s="330"/>
      <c r="C27" s="330"/>
      <c r="D27" s="330"/>
      <c r="E27" s="330"/>
      <c r="F27" s="330"/>
      <c r="G27" s="330"/>
      <c r="H27" s="330"/>
      <c r="I27" s="330"/>
      <c r="J27" s="330"/>
      <c r="K27" s="330"/>
      <c r="L27" s="11"/>
    </row>
    <row r="28" spans="1:12" s="12" customFormat="1" ht="18.75" thickTop="1" thickBot="1">
      <c r="A28" s="335" t="s">
        <v>69</v>
      </c>
      <c r="B28" s="336" t="s">
        <v>1</v>
      </c>
      <c r="C28" s="338" t="s">
        <v>11</v>
      </c>
      <c r="D28" s="338" t="s">
        <v>12</v>
      </c>
      <c r="E28" s="338" t="s">
        <v>13</v>
      </c>
      <c r="F28" s="338" t="s">
        <v>14</v>
      </c>
      <c r="G28" s="338" t="s">
        <v>15</v>
      </c>
      <c r="H28" s="338" t="s">
        <v>16</v>
      </c>
      <c r="I28" s="338" t="s">
        <v>17</v>
      </c>
      <c r="J28" s="338" t="s">
        <v>18</v>
      </c>
      <c r="K28" s="339" t="s">
        <v>166</v>
      </c>
      <c r="L28" s="11"/>
    </row>
    <row r="29" spans="1:12" ht="19.5">
      <c r="A29" s="347" t="s">
        <v>2</v>
      </c>
      <c r="B29" s="858">
        <v>3856</v>
      </c>
      <c r="C29" s="860">
        <v>0</v>
      </c>
      <c r="D29" s="860">
        <v>0</v>
      </c>
      <c r="E29" s="860">
        <v>47</v>
      </c>
      <c r="F29" s="860">
        <v>2096</v>
      </c>
      <c r="G29" s="860">
        <v>1453</v>
      </c>
      <c r="H29" s="860">
        <v>93</v>
      </c>
      <c r="I29" s="860">
        <v>86</v>
      </c>
      <c r="J29" s="860">
        <v>78</v>
      </c>
      <c r="K29" s="861">
        <v>3</v>
      </c>
      <c r="L29" s="8"/>
    </row>
    <row r="30" spans="1:12" s="20" customFormat="1" ht="19.5">
      <c r="A30" s="348" t="s">
        <v>71</v>
      </c>
      <c r="B30" s="862">
        <v>156</v>
      </c>
      <c r="C30" s="864">
        <v>0</v>
      </c>
      <c r="D30" s="864">
        <v>0</v>
      </c>
      <c r="E30" s="864">
        <v>0</v>
      </c>
      <c r="F30" s="864">
        <v>0</v>
      </c>
      <c r="G30" s="864">
        <v>0</v>
      </c>
      <c r="H30" s="864">
        <v>3</v>
      </c>
      <c r="I30" s="864">
        <v>72</v>
      </c>
      <c r="J30" s="864">
        <v>78</v>
      </c>
      <c r="K30" s="865">
        <v>3</v>
      </c>
      <c r="L30" s="19"/>
    </row>
    <row r="31" spans="1:12" s="21" customFormat="1" ht="17.25">
      <c r="A31" s="349" t="s">
        <v>72</v>
      </c>
      <c r="B31" s="866">
        <v>3696</v>
      </c>
      <c r="C31" s="868">
        <v>0</v>
      </c>
      <c r="D31" s="868">
        <v>0</v>
      </c>
      <c r="E31" s="868">
        <v>47</v>
      </c>
      <c r="F31" s="868">
        <v>2096</v>
      </c>
      <c r="G31" s="868">
        <v>1453</v>
      </c>
      <c r="H31" s="868">
        <v>90</v>
      </c>
      <c r="I31" s="868">
        <v>10</v>
      </c>
      <c r="J31" s="868">
        <v>0</v>
      </c>
      <c r="K31" s="869">
        <v>0</v>
      </c>
      <c r="L31" s="16"/>
    </row>
    <row r="32" spans="1:12" s="12" customFormat="1" ht="18" thickBot="1">
      <c r="A32" s="350" t="s">
        <v>73</v>
      </c>
      <c r="B32" s="870">
        <v>4</v>
      </c>
      <c r="C32" s="872">
        <v>0</v>
      </c>
      <c r="D32" s="872">
        <v>0</v>
      </c>
      <c r="E32" s="872">
        <v>0</v>
      </c>
      <c r="F32" s="872">
        <v>0</v>
      </c>
      <c r="G32" s="872">
        <v>0</v>
      </c>
      <c r="H32" s="872">
        <v>0</v>
      </c>
      <c r="I32" s="872">
        <v>4</v>
      </c>
      <c r="J32" s="872">
        <v>0</v>
      </c>
      <c r="K32" s="873">
        <v>0</v>
      </c>
      <c r="L32" s="16"/>
    </row>
    <row r="33" spans="1:12" s="12" customFormat="1" ht="18" thickTop="1">
      <c r="A33" s="330"/>
      <c r="B33" s="330"/>
      <c r="C33" s="330"/>
      <c r="D33" s="330"/>
      <c r="E33" s="330"/>
      <c r="F33" s="330"/>
      <c r="G33" s="330"/>
      <c r="H33" s="330"/>
      <c r="I33" s="330"/>
      <c r="J33" s="330"/>
      <c r="K33" s="330"/>
      <c r="L33" s="16"/>
    </row>
    <row r="34" spans="1:12" s="12" customFormat="1" ht="17.25">
      <c r="A34" s="330"/>
      <c r="B34" s="330"/>
      <c r="C34" s="330"/>
      <c r="D34" s="330"/>
      <c r="E34" s="330"/>
      <c r="F34" s="330"/>
      <c r="G34" s="330"/>
      <c r="H34" s="330"/>
      <c r="I34" s="330"/>
      <c r="J34" s="330"/>
      <c r="K34" s="330"/>
      <c r="L34" s="16"/>
    </row>
    <row r="35" spans="1:12" s="15" customFormat="1" ht="17.25">
      <c r="A35" s="334" t="s">
        <v>77</v>
      </c>
      <c r="B35" s="330"/>
      <c r="C35" s="330"/>
      <c r="D35" s="330"/>
      <c r="E35" s="330"/>
      <c r="F35" s="330"/>
      <c r="G35" s="330"/>
      <c r="H35" s="330"/>
      <c r="I35" s="330"/>
      <c r="J35" s="330"/>
      <c r="K35" s="330"/>
      <c r="L35" s="16"/>
    </row>
    <row r="36" spans="1:12" s="23" customFormat="1" ht="13.5">
      <c r="A36" s="345" t="s">
        <v>78</v>
      </c>
      <c r="B36" s="345"/>
      <c r="C36" s="345"/>
      <c r="D36" s="345"/>
      <c r="E36" s="345"/>
      <c r="F36" s="345"/>
      <c r="G36" s="345"/>
      <c r="H36" s="345"/>
      <c r="I36" s="345"/>
      <c r="J36" s="345"/>
      <c r="K36" s="345"/>
      <c r="L36" s="22"/>
    </row>
    <row r="37" spans="1:12" ht="20.25" thickBot="1">
      <c r="A37" s="330"/>
      <c r="B37" s="330"/>
      <c r="C37" s="330"/>
      <c r="D37" s="330"/>
      <c r="E37" s="330"/>
      <c r="F37" s="330"/>
      <c r="G37" s="330"/>
      <c r="H37" s="330"/>
      <c r="I37" s="330"/>
      <c r="J37" s="330"/>
      <c r="K37" s="330"/>
    </row>
    <row r="38" spans="1:12" ht="28.5" thickTop="1" thickBot="1">
      <c r="A38" s="335" t="s">
        <v>69</v>
      </c>
      <c r="B38" s="336" t="s">
        <v>1</v>
      </c>
      <c r="C38" s="337" t="s">
        <v>19</v>
      </c>
      <c r="D38" s="338" t="s">
        <v>20</v>
      </c>
      <c r="E38" s="338" t="s">
        <v>21</v>
      </c>
      <c r="F38" s="351" t="s">
        <v>79</v>
      </c>
      <c r="G38" s="351" t="s">
        <v>80</v>
      </c>
      <c r="H38" s="351" t="s">
        <v>81</v>
      </c>
      <c r="I38" s="1180" t="s">
        <v>82</v>
      </c>
      <c r="J38" s="1181"/>
      <c r="K38" s="1181"/>
    </row>
    <row r="39" spans="1:12" ht="19.5">
      <c r="A39" s="347" t="s">
        <v>2</v>
      </c>
      <c r="B39" s="858">
        <v>4880</v>
      </c>
      <c r="C39" s="859">
        <v>2207</v>
      </c>
      <c r="D39" s="860">
        <v>53</v>
      </c>
      <c r="E39" s="860">
        <v>291</v>
      </c>
      <c r="F39" s="860">
        <v>0</v>
      </c>
      <c r="G39" s="860">
        <v>1</v>
      </c>
      <c r="H39" s="860">
        <v>2328</v>
      </c>
      <c r="I39" s="1182"/>
      <c r="J39" s="1183"/>
      <c r="K39" s="1183"/>
    </row>
    <row r="40" spans="1:12" ht="19.5">
      <c r="A40" s="348" t="s">
        <v>71</v>
      </c>
      <c r="B40" s="862">
        <v>182</v>
      </c>
      <c r="C40" s="863">
        <v>107</v>
      </c>
      <c r="D40" s="864">
        <v>8</v>
      </c>
      <c r="E40" s="864">
        <v>67</v>
      </c>
      <c r="F40" s="864">
        <v>0</v>
      </c>
      <c r="G40" s="864">
        <v>0</v>
      </c>
      <c r="H40" s="864">
        <v>0</v>
      </c>
      <c r="I40" s="1132" t="s">
        <v>83</v>
      </c>
      <c r="J40" s="1133"/>
      <c r="K40" s="1133"/>
    </row>
    <row r="41" spans="1:12" ht="19.5">
      <c r="A41" s="349" t="s">
        <v>72</v>
      </c>
      <c r="B41" s="866">
        <v>4694</v>
      </c>
      <c r="C41" s="867">
        <v>2097</v>
      </c>
      <c r="D41" s="868">
        <v>45</v>
      </c>
      <c r="E41" s="868">
        <v>223</v>
      </c>
      <c r="F41" s="868">
        <v>0</v>
      </c>
      <c r="G41" s="868">
        <v>1</v>
      </c>
      <c r="H41" s="868">
        <v>2328</v>
      </c>
      <c r="I41" s="1124" t="s">
        <v>84</v>
      </c>
      <c r="J41" s="1125"/>
      <c r="K41" s="1125"/>
    </row>
    <row r="42" spans="1:12" ht="20.25" thickBot="1">
      <c r="A42" s="350" t="s">
        <v>73</v>
      </c>
      <c r="B42" s="870">
        <v>4</v>
      </c>
      <c r="C42" s="871">
        <v>3</v>
      </c>
      <c r="D42" s="872">
        <v>0</v>
      </c>
      <c r="E42" s="872">
        <v>1</v>
      </c>
      <c r="F42" s="872">
        <v>0</v>
      </c>
      <c r="G42" s="872">
        <v>0</v>
      </c>
      <c r="H42" s="872">
        <v>0</v>
      </c>
      <c r="I42" s="1126" t="s">
        <v>85</v>
      </c>
      <c r="J42" s="1127"/>
      <c r="K42" s="1127"/>
    </row>
    <row r="43" spans="1:12" ht="20.25" thickTop="1">
      <c r="A43" s="352" t="s">
        <v>86</v>
      </c>
      <c r="B43" s="353"/>
      <c r="C43" s="353"/>
      <c r="D43" s="353"/>
      <c r="E43" s="353"/>
      <c r="F43" s="353"/>
      <c r="G43" s="353"/>
      <c r="H43" s="353"/>
      <c r="I43" s="353"/>
      <c r="J43" s="353"/>
      <c r="K43" s="353"/>
    </row>
    <row r="44" spans="1:12" ht="19.5"/>
    <row r="45" spans="1:12" ht="19.5"/>
    <row r="46" spans="1:12" ht="19.5"/>
    <row r="47" spans="1:12" ht="19.5"/>
    <row r="48" spans="1:12" ht="19.5"/>
    <row r="49" ht="19.5"/>
    <row r="50" ht="19.5"/>
  </sheetData>
  <mergeCells count="3">
    <mergeCell ref="A2:K2"/>
    <mergeCell ref="I6:K6"/>
    <mergeCell ref="D3:F3"/>
  </mergeCells>
  <phoneticPr fontId="3" type="noConversion"/>
  <printOptions horizontalCentered="1"/>
  <pageMargins left="0.31496062992125984" right="0.31496062992125984" top="0.94488188976377963" bottom="0.51181102362204722" header="0.70866141732283472" footer="0.31496062992125984"/>
  <pageSetup paperSize="9" scale="67" fitToWidth="0" fitToHeight="0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L50"/>
  <sheetViews>
    <sheetView showGridLines="0" zoomScale="85" zoomScaleNormal="85" zoomScaleSheetLayoutView="70" workbookViewId="0">
      <selection activeCell="B8" sqref="B8:B11"/>
    </sheetView>
  </sheetViews>
  <sheetFormatPr defaultColWidth="16.42578125" defaultRowHeight="39.950000000000003" customHeight="1"/>
  <cols>
    <col min="1" max="1" width="15.5703125" style="7" customWidth="1"/>
    <col min="2" max="2" width="14.42578125" style="7" customWidth="1"/>
    <col min="3" max="6" width="10.42578125" style="7" customWidth="1"/>
    <col min="7" max="7" width="12.140625" style="7" customWidth="1"/>
    <col min="8" max="10" width="10.42578125" style="7" customWidth="1"/>
    <col min="11" max="11" width="16.140625" style="7" customWidth="1"/>
    <col min="12" max="12" width="1.7109375" style="7" customWidth="1"/>
    <col min="13" max="16384" width="16.42578125" style="7"/>
  </cols>
  <sheetData>
    <row r="1" spans="1:12" s="2" customFormat="1" ht="25.5">
      <c r="A1" s="354"/>
      <c r="B1" s="354"/>
      <c r="C1" s="354"/>
      <c r="D1" s="354"/>
      <c r="E1" s="354"/>
      <c r="F1" s="354"/>
      <c r="G1" s="354"/>
      <c r="H1" s="354"/>
      <c r="I1" s="354"/>
      <c r="J1" s="354"/>
      <c r="K1" s="354"/>
      <c r="L1" s="1"/>
    </row>
    <row r="2" spans="1:12" s="2" customFormat="1" ht="26.25">
      <c r="A2" s="1353" t="s">
        <v>67</v>
      </c>
      <c r="B2" s="1353"/>
      <c r="C2" s="1353"/>
      <c r="D2" s="1353"/>
      <c r="E2" s="1353"/>
      <c r="F2" s="1353"/>
      <c r="G2" s="1353"/>
      <c r="H2" s="1353"/>
      <c r="I2" s="1353"/>
      <c r="J2" s="1353"/>
      <c r="K2" s="1353"/>
      <c r="L2" s="1"/>
    </row>
    <row r="3" spans="1:12" s="2" customFormat="1" ht="25.5">
      <c r="A3" s="355"/>
      <c r="B3" s="356"/>
      <c r="C3" s="356"/>
      <c r="D3" s="1355" t="s">
        <v>103</v>
      </c>
      <c r="E3" s="1355"/>
      <c r="F3" s="1355"/>
      <c r="G3" s="356"/>
      <c r="H3" s="356"/>
      <c r="I3" s="356"/>
      <c r="J3" s="356"/>
      <c r="K3" s="356"/>
      <c r="L3" s="1"/>
    </row>
    <row r="4" spans="1:12" s="2" customFormat="1" ht="25.5">
      <c r="A4" s="355"/>
      <c r="B4" s="356"/>
      <c r="C4" s="356"/>
      <c r="D4" s="357"/>
      <c r="E4" s="357"/>
      <c r="F4" s="357"/>
      <c r="G4" s="356"/>
      <c r="H4" s="356"/>
      <c r="I4" s="356"/>
      <c r="J4" s="356"/>
      <c r="K4" s="356"/>
      <c r="L4" s="1"/>
    </row>
    <row r="5" spans="1:12" s="2" customFormat="1" ht="25.5">
      <c r="A5" s="358" t="s">
        <v>87</v>
      </c>
      <c r="B5" s="354"/>
      <c r="C5" s="354"/>
      <c r="D5" s="354"/>
      <c r="E5" s="354"/>
      <c r="F5" s="354"/>
      <c r="G5" s="354"/>
      <c r="H5" s="354"/>
      <c r="I5" s="354"/>
      <c r="J5" s="354"/>
      <c r="K5" s="354"/>
      <c r="L5" s="1"/>
    </row>
    <row r="6" spans="1:12" s="4" customFormat="1" ht="21" thickBot="1">
      <c r="A6" s="354"/>
      <c r="B6" s="354"/>
      <c r="C6" s="354"/>
      <c r="D6" s="354"/>
      <c r="E6" s="354"/>
      <c r="F6" s="354"/>
      <c r="G6" s="354"/>
      <c r="H6" s="354"/>
      <c r="I6" s="1354" t="s">
        <v>193</v>
      </c>
      <c r="J6" s="1354"/>
      <c r="K6" s="1354"/>
      <c r="L6" s="3"/>
    </row>
    <row r="7" spans="1:12" s="5" customFormat="1" ht="21.75" thickTop="1" thickBot="1">
      <c r="A7" s="359" t="s">
        <v>69</v>
      </c>
      <c r="B7" s="360" t="s">
        <v>1</v>
      </c>
      <c r="C7" s="362" t="s">
        <v>11</v>
      </c>
      <c r="D7" s="362" t="s">
        <v>12</v>
      </c>
      <c r="E7" s="362" t="s">
        <v>13</v>
      </c>
      <c r="F7" s="362" t="s">
        <v>14</v>
      </c>
      <c r="G7" s="362" t="s">
        <v>15</v>
      </c>
      <c r="H7" s="362" t="s">
        <v>16</v>
      </c>
      <c r="I7" s="362" t="s">
        <v>17</v>
      </c>
      <c r="J7" s="362" t="s">
        <v>18</v>
      </c>
      <c r="K7" s="363" t="s">
        <v>166</v>
      </c>
      <c r="L7" s="6"/>
    </row>
    <row r="8" spans="1:12" ht="19.5">
      <c r="A8" s="364" t="s">
        <v>2</v>
      </c>
      <c r="B8" s="874">
        <v>7814</v>
      </c>
      <c r="C8" s="875">
        <v>0</v>
      </c>
      <c r="D8" s="875">
        <v>0</v>
      </c>
      <c r="E8" s="875">
        <v>73</v>
      </c>
      <c r="F8" s="875">
        <v>4171</v>
      </c>
      <c r="G8" s="875">
        <v>2446</v>
      </c>
      <c r="H8" s="875">
        <v>153</v>
      </c>
      <c r="I8" s="875">
        <v>599</v>
      </c>
      <c r="J8" s="875">
        <v>353</v>
      </c>
      <c r="K8" s="876">
        <v>19</v>
      </c>
      <c r="L8" s="8"/>
    </row>
    <row r="9" spans="1:12" s="10" customFormat="1" ht="17.25">
      <c r="A9" s="365" t="s">
        <v>71</v>
      </c>
      <c r="B9" s="877">
        <v>974</v>
      </c>
      <c r="C9" s="878">
        <v>0</v>
      </c>
      <c r="D9" s="878">
        <v>0</v>
      </c>
      <c r="E9" s="878">
        <v>0</v>
      </c>
      <c r="F9" s="878">
        <v>0</v>
      </c>
      <c r="G9" s="878">
        <v>0</v>
      </c>
      <c r="H9" s="878">
        <v>19</v>
      </c>
      <c r="I9" s="878">
        <v>583</v>
      </c>
      <c r="J9" s="878">
        <v>353</v>
      </c>
      <c r="K9" s="879">
        <v>19</v>
      </c>
      <c r="L9" s="9"/>
    </row>
    <row r="10" spans="1:12" s="12" customFormat="1" ht="17.25">
      <c r="A10" s="366" t="s">
        <v>72</v>
      </c>
      <c r="B10" s="880">
        <v>6838</v>
      </c>
      <c r="C10" s="881">
        <v>0</v>
      </c>
      <c r="D10" s="881">
        <v>0</v>
      </c>
      <c r="E10" s="881">
        <v>73</v>
      </c>
      <c r="F10" s="881">
        <v>4171</v>
      </c>
      <c r="G10" s="881">
        <v>2446</v>
      </c>
      <c r="H10" s="881">
        <v>134</v>
      </c>
      <c r="I10" s="881">
        <v>14</v>
      </c>
      <c r="J10" s="881">
        <v>0</v>
      </c>
      <c r="K10" s="882">
        <v>0</v>
      </c>
      <c r="L10" s="11"/>
    </row>
    <row r="11" spans="1:12" s="12" customFormat="1" ht="18" thickBot="1">
      <c r="A11" s="367" t="s">
        <v>73</v>
      </c>
      <c r="B11" s="883">
        <v>2</v>
      </c>
      <c r="C11" s="884">
        <v>0</v>
      </c>
      <c r="D11" s="884">
        <v>0</v>
      </c>
      <c r="E11" s="884">
        <v>0</v>
      </c>
      <c r="F11" s="884">
        <v>0</v>
      </c>
      <c r="G11" s="884">
        <v>0</v>
      </c>
      <c r="H11" s="884">
        <v>0</v>
      </c>
      <c r="I11" s="884">
        <v>2</v>
      </c>
      <c r="J11" s="884">
        <v>0</v>
      </c>
      <c r="K11" s="885">
        <v>0</v>
      </c>
      <c r="L11" s="11"/>
    </row>
    <row r="12" spans="1:12" s="12" customFormat="1" ht="18" thickTop="1">
      <c r="A12" s="368" t="s">
        <v>74</v>
      </c>
      <c r="B12" s="354"/>
      <c r="C12" s="354"/>
      <c r="D12" s="354"/>
      <c r="E12" s="354"/>
      <c r="F12" s="354"/>
      <c r="G12" s="354"/>
      <c r="H12" s="354"/>
      <c r="I12" s="354"/>
      <c r="J12" s="354"/>
      <c r="K12" s="354"/>
      <c r="L12" s="11"/>
    </row>
    <row r="13" spans="1:12" s="12" customFormat="1" ht="17.25">
      <c r="A13" s="354"/>
      <c r="B13" s="354"/>
      <c r="C13" s="354"/>
      <c r="D13" s="354"/>
      <c r="E13" s="354"/>
      <c r="F13" s="354"/>
      <c r="G13" s="354"/>
      <c r="H13" s="354"/>
      <c r="I13" s="354"/>
      <c r="J13" s="354"/>
      <c r="K13" s="354"/>
      <c r="L13" s="11"/>
    </row>
    <row r="14" spans="1:12" s="13" customFormat="1" ht="16.5">
      <c r="A14" s="354"/>
      <c r="B14" s="354"/>
      <c r="C14" s="354"/>
      <c r="D14" s="354"/>
      <c r="E14" s="354"/>
      <c r="F14" s="354"/>
      <c r="G14" s="354"/>
      <c r="H14" s="354"/>
      <c r="I14" s="354"/>
      <c r="J14" s="354"/>
      <c r="K14" s="354"/>
      <c r="L14" s="14"/>
    </row>
    <row r="15" spans="1:12" s="15" customFormat="1" ht="13.5">
      <c r="A15" s="369" t="s">
        <v>88</v>
      </c>
      <c r="B15" s="369"/>
      <c r="C15" s="369"/>
      <c r="D15" s="369"/>
      <c r="E15" s="369"/>
      <c r="F15" s="369"/>
      <c r="G15" s="369"/>
      <c r="H15" s="369"/>
      <c r="I15" s="369"/>
      <c r="J15" s="369"/>
      <c r="K15" s="369"/>
      <c r="L15" s="16"/>
    </row>
    <row r="16" spans="1:12" s="10" customFormat="1" ht="17.25">
      <c r="A16" s="369" t="s">
        <v>75</v>
      </c>
      <c r="B16" s="369"/>
      <c r="C16" s="369"/>
      <c r="D16" s="369"/>
      <c r="E16" s="369"/>
      <c r="F16" s="369"/>
      <c r="G16" s="369"/>
      <c r="H16" s="369"/>
      <c r="I16" s="369"/>
      <c r="J16" s="369"/>
      <c r="K16" s="369"/>
      <c r="L16" s="9"/>
    </row>
    <row r="17" spans="1:12" s="10" customFormat="1" ht="18" thickBot="1">
      <c r="A17" s="370"/>
      <c r="B17" s="354"/>
      <c r="C17" s="354"/>
      <c r="D17" s="354"/>
      <c r="E17" s="354"/>
      <c r="F17" s="354"/>
      <c r="G17" s="354"/>
      <c r="H17" s="354"/>
      <c r="I17" s="354"/>
      <c r="J17" s="354"/>
      <c r="K17" s="354"/>
      <c r="L17" s="9"/>
    </row>
    <row r="18" spans="1:12" s="12" customFormat="1" ht="18.75" thickTop="1" thickBot="1">
      <c r="A18" s="359" t="s">
        <v>69</v>
      </c>
      <c r="B18" s="360" t="s">
        <v>1</v>
      </c>
      <c r="C18" s="362" t="s">
        <v>11</v>
      </c>
      <c r="D18" s="362" t="s">
        <v>12</v>
      </c>
      <c r="E18" s="362" t="s">
        <v>13</v>
      </c>
      <c r="F18" s="362" t="s">
        <v>14</v>
      </c>
      <c r="G18" s="362" t="s">
        <v>15</v>
      </c>
      <c r="H18" s="362" t="s">
        <v>16</v>
      </c>
      <c r="I18" s="362" t="s">
        <v>17</v>
      </c>
      <c r="J18" s="362" t="s">
        <v>18</v>
      </c>
      <c r="K18" s="1184" t="s">
        <v>166</v>
      </c>
      <c r="L18" s="11"/>
    </row>
    <row r="19" spans="1:12" s="12" customFormat="1" ht="17.25">
      <c r="A19" s="371" t="s">
        <v>2</v>
      </c>
      <c r="B19" s="886">
        <v>3353</v>
      </c>
      <c r="C19" s="888">
        <v>0</v>
      </c>
      <c r="D19" s="888">
        <v>0</v>
      </c>
      <c r="E19" s="888">
        <v>33</v>
      </c>
      <c r="F19" s="888">
        <v>1599</v>
      </c>
      <c r="G19" s="888">
        <v>860</v>
      </c>
      <c r="H19" s="888">
        <v>78</v>
      </c>
      <c r="I19" s="888">
        <v>498</v>
      </c>
      <c r="J19" s="888">
        <v>270</v>
      </c>
      <c r="K19" s="889">
        <v>15</v>
      </c>
      <c r="L19" s="11"/>
    </row>
    <row r="20" spans="1:12" s="12" customFormat="1" ht="17.25">
      <c r="A20" s="372" t="s">
        <v>71</v>
      </c>
      <c r="B20" s="890">
        <v>794</v>
      </c>
      <c r="C20" s="892">
        <v>0</v>
      </c>
      <c r="D20" s="892">
        <v>0</v>
      </c>
      <c r="E20" s="892">
        <v>0</v>
      </c>
      <c r="F20" s="892">
        <v>0</v>
      </c>
      <c r="G20" s="892">
        <v>0</v>
      </c>
      <c r="H20" s="892">
        <v>18</v>
      </c>
      <c r="I20" s="892">
        <v>491</v>
      </c>
      <c r="J20" s="892">
        <v>270</v>
      </c>
      <c r="K20" s="893">
        <v>15</v>
      </c>
      <c r="L20" s="11"/>
    </row>
    <row r="21" spans="1:12" s="12" customFormat="1" ht="17.25">
      <c r="A21" s="373" t="s">
        <v>72</v>
      </c>
      <c r="B21" s="894">
        <v>2557</v>
      </c>
      <c r="C21" s="896">
        <v>0</v>
      </c>
      <c r="D21" s="896">
        <v>0</v>
      </c>
      <c r="E21" s="896">
        <v>33</v>
      </c>
      <c r="F21" s="896">
        <v>1599</v>
      </c>
      <c r="G21" s="896">
        <v>860</v>
      </c>
      <c r="H21" s="896">
        <v>60</v>
      </c>
      <c r="I21" s="896">
        <v>5</v>
      </c>
      <c r="J21" s="896">
        <v>0</v>
      </c>
      <c r="K21" s="897">
        <v>0</v>
      </c>
      <c r="L21" s="11"/>
    </row>
    <row r="22" spans="1:12" s="17" customFormat="1" ht="20.25" thickBot="1">
      <c r="A22" s="374" t="s">
        <v>73</v>
      </c>
      <c r="B22" s="898">
        <v>2</v>
      </c>
      <c r="C22" s="900">
        <v>0</v>
      </c>
      <c r="D22" s="900">
        <v>0</v>
      </c>
      <c r="E22" s="900">
        <v>0</v>
      </c>
      <c r="F22" s="900">
        <v>0</v>
      </c>
      <c r="G22" s="900">
        <v>0</v>
      </c>
      <c r="H22" s="900">
        <v>0</v>
      </c>
      <c r="I22" s="900">
        <v>2</v>
      </c>
      <c r="J22" s="900">
        <v>0</v>
      </c>
      <c r="K22" s="901">
        <v>0</v>
      </c>
      <c r="L22" s="8"/>
    </row>
    <row r="23" spans="1:12" s="18" customFormat="1" ht="18" thickTop="1">
      <c r="A23" s="354"/>
      <c r="B23" s="354"/>
      <c r="C23" s="354"/>
      <c r="D23" s="354"/>
      <c r="E23" s="354"/>
      <c r="F23" s="354"/>
      <c r="G23" s="354"/>
      <c r="H23" s="354"/>
      <c r="I23" s="354"/>
      <c r="J23" s="354"/>
      <c r="K23" s="354"/>
      <c r="L23" s="9"/>
    </row>
    <row r="24" spans="1:12" s="10" customFormat="1" ht="17.25">
      <c r="A24" s="354"/>
      <c r="B24" s="354"/>
      <c r="C24" s="354"/>
      <c r="D24" s="354"/>
      <c r="E24" s="354"/>
      <c r="F24" s="354"/>
      <c r="G24" s="354"/>
      <c r="H24" s="354"/>
      <c r="I24" s="354"/>
      <c r="J24" s="354"/>
      <c r="K24" s="354"/>
      <c r="L24" s="9"/>
    </row>
    <row r="25" spans="1:12" s="12" customFormat="1" ht="17.25">
      <c r="A25" s="369" t="s">
        <v>89</v>
      </c>
      <c r="B25" s="369"/>
      <c r="C25" s="369"/>
      <c r="D25" s="369"/>
      <c r="E25" s="369"/>
      <c r="F25" s="369"/>
      <c r="G25" s="369"/>
      <c r="H25" s="369"/>
      <c r="I25" s="369"/>
      <c r="J25" s="369"/>
      <c r="K25" s="369"/>
      <c r="L25" s="11"/>
    </row>
    <row r="26" spans="1:12" s="12" customFormat="1" ht="17.25">
      <c r="A26" s="369" t="s">
        <v>76</v>
      </c>
      <c r="B26" s="369"/>
      <c r="C26" s="369"/>
      <c r="D26" s="369"/>
      <c r="E26" s="369"/>
      <c r="F26" s="369"/>
      <c r="G26" s="369"/>
      <c r="H26" s="369"/>
      <c r="I26" s="369"/>
      <c r="J26" s="369"/>
      <c r="K26" s="369"/>
      <c r="L26" s="11"/>
    </row>
    <row r="27" spans="1:12" s="12" customFormat="1" ht="18" thickBot="1">
      <c r="A27" s="370"/>
      <c r="B27" s="354"/>
      <c r="C27" s="354"/>
      <c r="D27" s="354"/>
      <c r="E27" s="354"/>
      <c r="F27" s="354"/>
      <c r="G27" s="354"/>
      <c r="H27" s="354"/>
      <c r="I27" s="354"/>
      <c r="J27" s="354"/>
      <c r="K27" s="354"/>
      <c r="L27" s="11"/>
    </row>
    <row r="28" spans="1:12" s="12" customFormat="1" ht="18.75" thickTop="1" thickBot="1">
      <c r="A28" s="359" t="s">
        <v>69</v>
      </c>
      <c r="B28" s="360" t="s">
        <v>1</v>
      </c>
      <c r="C28" s="362" t="s">
        <v>11</v>
      </c>
      <c r="D28" s="362" t="s">
        <v>12</v>
      </c>
      <c r="E28" s="362" t="s">
        <v>13</v>
      </c>
      <c r="F28" s="362" t="s">
        <v>14</v>
      </c>
      <c r="G28" s="362" t="s">
        <v>15</v>
      </c>
      <c r="H28" s="362" t="s">
        <v>16</v>
      </c>
      <c r="I28" s="362" t="s">
        <v>17</v>
      </c>
      <c r="J28" s="362" t="s">
        <v>18</v>
      </c>
      <c r="K28" s="1184" t="s">
        <v>166</v>
      </c>
      <c r="L28" s="11"/>
    </row>
    <row r="29" spans="1:12" ht="19.5">
      <c r="A29" s="371" t="s">
        <v>2</v>
      </c>
      <c r="B29" s="886">
        <v>4461</v>
      </c>
      <c r="C29" s="888">
        <v>0</v>
      </c>
      <c r="D29" s="888">
        <v>0</v>
      </c>
      <c r="E29" s="888">
        <v>40</v>
      </c>
      <c r="F29" s="888">
        <v>2572</v>
      </c>
      <c r="G29" s="888">
        <v>1586</v>
      </c>
      <c r="H29" s="888">
        <v>75</v>
      </c>
      <c r="I29" s="888">
        <v>101</v>
      </c>
      <c r="J29" s="888">
        <v>83</v>
      </c>
      <c r="K29" s="889">
        <v>4</v>
      </c>
      <c r="L29" s="8"/>
    </row>
    <row r="30" spans="1:12" s="20" customFormat="1" ht="19.5">
      <c r="A30" s="372" t="s">
        <v>71</v>
      </c>
      <c r="B30" s="890">
        <v>180</v>
      </c>
      <c r="C30" s="892">
        <v>0</v>
      </c>
      <c r="D30" s="892">
        <v>0</v>
      </c>
      <c r="E30" s="892">
        <v>0</v>
      </c>
      <c r="F30" s="892">
        <v>0</v>
      </c>
      <c r="G30" s="892">
        <v>0</v>
      </c>
      <c r="H30" s="892">
        <v>1</v>
      </c>
      <c r="I30" s="892">
        <v>92</v>
      </c>
      <c r="J30" s="892">
        <v>83</v>
      </c>
      <c r="K30" s="893">
        <v>4</v>
      </c>
      <c r="L30" s="19"/>
    </row>
    <row r="31" spans="1:12" s="21" customFormat="1" ht="17.25">
      <c r="A31" s="373" t="s">
        <v>72</v>
      </c>
      <c r="B31" s="894">
        <v>4281</v>
      </c>
      <c r="C31" s="896">
        <v>0</v>
      </c>
      <c r="D31" s="896">
        <v>0</v>
      </c>
      <c r="E31" s="896">
        <v>40</v>
      </c>
      <c r="F31" s="896">
        <v>2572</v>
      </c>
      <c r="G31" s="896">
        <v>1586</v>
      </c>
      <c r="H31" s="896">
        <v>74</v>
      </c>
      <c r="I31" s="896">
        <v>9</v>
      </c>
      <c r="J31" s="896">
        <v>0</v>
      </c>
      <c r="K31" s="897">
        <v>0</v>
      </c>
      <c r="L31" s="16"/>
    </row>
    <row r="32" spans="1:12" s="12" customFormat="1" ht="18" thickBot="1">
      <c r="A32" s="374" t="s">
        <v>73</v>
      </c>
      <c r="B32" s="898">
        <v>0</v>
      </c>
      <c r="C32" s="900">
        <v>0</v>
      </c>
      <c r="D32" s="900">
        <v>0</v>
      </c>
      <c r="E32" s="900">
        <v>0</v>
      </c>
      <c r="F32" s="900">
        <v>0</v>
      </c>
      <c r="G32" s="900">
        <v>0</v>
      </c>
      <c r="H32" s="900">
        <v>0</v>
      </c>
      <c r="I32" s="900">
        <v>0</v>
      </c>
      <c r="J32" s="900">
        <v>0</v>
      </c>
      <c r="K32" s="901">
        <v>0</v>
      </c>
      <c r="L32" s="16"/>
    </row>
    <row r="33" spans="1:12" s="12" customFormat="1" ht="18" thickTop="1">
      <c r="A33" s="354"/>
      <c r="B33" s="354"/>
      <c r="C33" s="354"/>
      <c r="D33" s="354"/>
      <c r="E33" s="354"/>
      <c r="F33" s="354"/>
      <c r="G33" s="354"/>
      <c r="H33" s="354"/>
      <c r="I33" s="354"/>
      <c r="J33" s="354"/>
      <c r="K33" s="354"/>
      <c r="L33" s="16"/>
    </row>
    <row r="34" spans="1:12" s="12" customFormat="1" ht="17.25">
      <c r="A34" s="354"/>
      <c r="B34" s="354"/>
      <c r="C34" s="354"/>
      <c r="D34" s="354"/>
      <c r="E34" s="354"/>
      <c r="F34" s="354"/>
      <c r="G34" s="354"/>
      <c r="H34" s="354"/>
      <c r="I34" s="354"/>
      <c r="J34" s="354"/>
      <c r="K34" s="354"/>
      <c r="L34" s="16"/>
    </row>
    <row r="35" spans="1:12" s="15" customFormat="1" ht="17.25">
      <c r="A35" s="358" t="s">
        <v>77</v>
      </c>
      <c r="B35" s="354"/>
      <c r="C35" s="354"/>
      <c r="D35" s="354"/>
      <c r="E35" s="354"/>
      <c r="F35" s="354"/>
      <c r="G35" s="354"/>
      <c r="H35" s="354"/>
      <c r="I35" s="354"/>
      <c r="J35" s="354"/>
      <c r="K35" s="354"/>
      <c r="L35" s="16"/>
    </row>
    <row r="36" spans="1:12" s="23" customFormat="1" ht="13.5">
      <c r="A36" s="369" t="s">
        <v>78</v>
      </c>
      <c r="B36" s="369"/>
      <c r="C36" s="369"/>
      <c r="D36" s="369"/>
      <c r="E36" s="369"/>
      <c r="F36" s="369"/>
      <c r="G36" s="369"/>
      <c r="H36" s="369"/>
      <c r="I36" s="369"/>
      <c r="J36" s="369"/>
      <c r="K36" s="369"/>
      <c r="L36" s="22"/>
    </row>
    <row r="37" spans="1:12" ht="20.25" thickBot="1">
      <c r="A37" s="354"/>
      <c r="B37" s="354"/>
      <c r="C37" s="354"/>
      <c r="D37" s="354"/>
      <c r="E37" s="354"/>
      <c r="F37" s="354"/>
      <c r="G37" s="354"/>
      <c r="H37" s="354"/>
      <c r="I37" s="354"/>
      <c r="J37" s="354"/>
      <c r="K37" s="354"/>
    </row>
    <row r="38" spans="1:12" ht="28.5" thickTop="1" thickBot="1">
      <c r="A38" s="359" t="s">
        <v>69</v>
      </c>
      <c r="B38" s="360" t="s">
        <v>1</v>
      </c>
      <c r="C38" s="361" t="s">
        <v>19</v>
      </c>
      <c r="D38" s="362" t="s">
        <v>20</v>
      </c>
      <c r="E38" s="362" t="s">
        <v>21</v>
      </c>
      <c r="F38" s="375" t="s">
        <v>173</v>
      </c>
      <c r="G38" s="375" t="s">
        <v>174</v>
      </c>
      <c r="H38" s="375" t="s">
        <v>175</v>
      </c>
      <c r="I38" s="1184" t="s">
        <v>176</v>
      </c>
      <c r="J38" s="1185"/>
      <c r="K38" s="1185"/>
    </row>
    <row r="39" spans="1:12" ht="19.5">
      <c r="A39" s="371" t="s">
        <v>2</v>
      </c>
      <c r="B39" s="886">
        <v>5859</v>
      </c>
      <c r="C39" s="887">
        <v>2815</v>
      </c>
      <c r="D39" s="888">
        <v>75</v>
      </c>
      <c r="E39" s="888">
        <v>309</v>
      </c>
      <c r="F39" s="888">
        <v>0</v>
      </c>
      <c r="G39" s="888">
        <v>2</v>
      </c>
      <c r="H39" s="888">
        <v>2658</v>
      </c>
      <c r="I39" s="1186"/>
      <c r="J39" s="1187"/>
      <c r="K39" s="1187"/>
    </row>
    <row r="40" spans="1:12" ht="19.5">
      <c r="A40" s="372" t="s">
        <v>71</v>
      </c>
      <c r="B40" s="890">
        <v>198</v>
      </c>
      <c r="C40" s="891">
        <v>109</v>
      </c>
      <c r="D40" s="892">
        <v>15</v>
      </c>
      <c r="E40" s="892">
        <v>74</v>
      </c>
      <c r="F40" s="892">
        <v>0</v>
      </c>
      <c r="G40" s="892">
        <v>0</v>
      </c>
      <c r="H40" s="892">
        <v>0</v>
      </c>
      <c r="I40" s="1132" t="s">
        <v>177</v>
      </c>
      <c r="J40" s="1133"/>
      <c r="K40" s="1133"/>
    </row>
    <row r="41" spans="1:12" ht="19.5">
      <c r="A41" s="373" t="s">
        <v>72</v>
      </c>
      <c r="B41" s="894">
        <v>5661</v>
      </c>
      <c r="C41" s="895">
        <v>2706</v>
      </c>
      <c r="D41" s="896">
        <v>60</v>
      </c>
      <c r="E41" s="896">
        <v>235</v>
      </c>
      <c r="F41" s="896">
        <v>0</v>
      </c>
      <c r="G41" s="896">
        <v>2</v>
      </c>
      <c r="H41" s="896">
        <v>2658</v>
      </c>
      <c r="I41" s="1124" t="s">
        <v>178</v>
      </c>
      <c r="J41" s="1125"/>
      <c r="K41" s="1125"/>
    </row>
    <row r="42" spans="1:12" ht="20.25" thickBot="1">
      <c r="A42" s="374" t="s">
        <v>73</v>
      </c>
      <c r="B42" s="898">
        <v>0</v>
      </c>
      <c r="C42" s="899">
        <v>0</v>
      </c>
      <c r="D42" s="900">
        <v>0</v>
      </c>
      <c r="E42" s="900">
        <v>0</v>
      </c>
      <c r="F42" s="900">
        <v>0</v>
      </c>
      <c r="G42" s="900">
        <v>0</v>
      </c>
      <c r="H42" s="900">
        <v>0</v>
      </c>
      <c r="I42" s="1126" t="s">
        <v>179</v>
      </c>
      <c r="J42" s="1127"/>
      <c r="K42" s="1127"/>
    </row>
    <row r="43" spans="1:12" ht="20.25" thickTop="1">
      <c r="A43" s="376" t="s">
        <v>86</v>
      </c>
      <c r="B43" s="377"/>
      <c r="C43" s="377"/>
      <c r="D43" s="377"/>
      <c r="E43" s="377"/>
      <c r="F43" s="377"/>
      <c r="G43" s="377"/>
      <c r="H43" s="377"/>
      <c r="I43" s="377"/>
      <c r="J43" s="377"/>
      <c r="K43" s="377"/>
    </row>
    <row r="44" spans="1:12" ht="19.5"/>
    <row r="45" spans="1:12" ht="19.5"/>
    <row r="46" spans="1:12" ht="19.5"/>
    <row r="47" spans="1:12" ht="19.5"/>
    <row r="48" spans="1:12" ht="19.5"/>
    <row r="49" ht="19.5"/>
    <row r="50" ht="19.5"/>
  </sheetData>
  <mergeCells count="3">
    <mergeCell ref="A2:K2"/>
    <mergeCell ref="I6:K6"/>
    <mergeCell ref="D3:F3"/>
  </mergeCells>
  <phoneticPr fontId="3" type="noConversion"/>
  <printOptions horizontalCentered="1"/>
  <pageMargins left="0.31496062992125984" right="0.31496062992125984" top="0.94488188976377963" bottom="0.51181102362204722" header="0.70866141732283472" footer="0.31496062992125984"/>
  <pageSetup paperSize="9" scale="67" fitToWidth="0" fitToHeight="0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L50"/>
  <sheetViews>
    <sheetView showGridLines="0" zoomScale="85" zoomScaleNormal="85" zoomScaleSheetLayoutView="70" workbookViewId="0">
      <selection activeCell="B8" sqref="B8:B11"/>
    </sheetView>
  </sheetViews>
  <sheetFormatPr defaultColWidth="16.42578125" defaultRowHeight="39.950000000000003" customHeight="1"/>
  <cols>
    <col min="1" max="1" width="15.5703125" style="7" customWidth="1"/>
    <col min="2" max="2" width="14.42578125" style="7" customWidth="1"/>
    <col min="3" max="6" width="10.42578125" style="7" customWidth="1"/>
    <col min="7" max="7" width="12.140625" style="7" customWidth="1"/>
    <col min="8" max="10" width="10.42578125" style="7" customWidth="1"/>
    <col min="11" max="11" width="16.28515625" style="7" customWidth="1"/>
    <col min="12" max="12" width="1.7109375" style="7" customWidth="1"/>
    <col min="13" max="16384" width="16.42578125" style="7"/>
  </cols>
  <sheetData>
    <row r="1" spans="1:12" s="2" customFormat="1" ht="25.5">
      <c r="A1" s="378"/>
      <c r="B1" s="378"/>
      <c r="C1" s="378"/>
      <c r="D1" s="378"/>
      <c r="E1" s="378"/>
      <c r="F1" s="378"/>
      <c r="G1" s="378"/>
      <c r="H1" s="378"/>
      <c r="I1" s="378"/>
      <c r="J1" s="378"/>
      <c r="K1" s="378"/>
      <c r="L1" s="1"/>
    </row>
    <row r="2" spans="1:12" s="2" customFormat="1" ht="26.25">
      <c r="A2" s="1356" t="s">
        <v>67</v>
      </c>
      <c r="B2" s="1356"/>
      <c r="C2" s="1356"/>
      <c r="D2" s="1356"/>
      <c r="E2" s="1356"/>
      <c r="F2" s="1356"/>
      <c r="G2" s="1356"/>
      <c r="H2" s="1356"/>
      <c r="I2" s="1356"/>
      <c r="J2" s="1356"/>
      <c r="K2" s="1356"/>
      <c r="L2" s="1"/>
    </row>
    <row r="3" spans="1:12" s="2" customFormat="1" ht="25.5">
      <c r="A3" s="379"/>
      <c r="B3" s="380"/>
      <c r="C3" s="380"/>
      <c r="D3" s="1358" t="s">
        <v>104</v>
      </c>
      <c r="E3" s="1358"/>
      <c r="F3" s="1358"/>
      <c r="G3" s="380"/>
      <c r="H3" s="380"/>
      <c r="I3" s="380"/>
      <c r="J3" s="380"/>
      <c r="K3" s="380"/>
      <c r="L3" s="1"/>
    </row>
    <row r="4" spans="1:12" s="2" customFormat="1" ht="25.5">
      <c r="A4" s="379"/>
      <c r="B4" s="380"/>
      <c r="C4" s="380"/>
      <c r="D4" s="381"/>
      <c r="E4" s="381"/>
      <c r="F4" s="381"/>
      <c r="G4" s="380"/>
      <c r="H4" s="380"/>
      <c r="I4" s="380"/>
      <c r="J4" s="380"/>
      <c r="K4" s="380"/>
      <c r="L4" s="1"/>
    </row>
    <row r="5" spans="1:12" s="2" customFormat="1" ht="25.5">
      <c r="A5" s="382" t="s">
        <v>87</v>
      </c>
      <c r="B5" s="378"/>
      <c r="C5" s="378"/>
      <c r="D5" s="378"/>
      <c r="E5" s="378"/>
      <c r="F5" s="378"/>
      <c r="G5" s="378"/>
      <c r="H5" s="378"/>
      <c r="I5" s="378"/>
      <c r="J5" s="378"/>
      <c r="K5" s="378"/>
      <c r="L5" s="1"/>
    </row>
    <row r="6" spans="1:12" s="4" customFormat="1" ht="21" thickBot="1">
      <c r="A6" s="378"/>
      <c r="B6" s="378"/>
      <c r="C6" s="378"/>
      <c r="D6" s="378"/>
      <c r="E6" s="378"/>
      <c r="F6" s="378"/>
      <c r="G6" s="378"/>
      <c r="H6" s="378"/>
      <c r="I6" s="1357" t="s">
        <v>188</v>
      </c>
      <c r="J6" s="1357"/>
      <c r="K6" s="1357"/>
      <c r="L6" s="3"/>
    </row>
    <row r="7" spans="1:12" s="5" customFormat="1" ht="21.75" thickTop="1" thickBot="1">
      <c r="A7" s="383" t="s">
        <v>69</v>
      </c>
      <c r="B7" s="384" t="s">
        <v>1</v>
      </c>
      <c r="C7" s="386" t="s">
        <v>11</v>
      </c>
      <c r="D7" s="386" t="s">
        <v>12</v>
      </c>
      <c r="E7" s="386" t="s">
        <v>13</v>
      </c>
      <c r="F7" s="386" t="s">
        <v>14</v>
      </c>
      <c r="G7" s="386" t="s">
        <v>15</v>
      </c>
      <c r="H7" s="386" t="s">
        <v>16</v>
      </c>
      <c r="I7" s="386" t="s">
        <v>17</v>
      </c>
      <c r="J7" s="386" t="s">
        <v>18</v>
      </c>
      <c r="K7" s="387" t="s">
        <v>166</v>
      </c>
      <c r="L7" s="6"/>
    </row>
    <row r="8" spans="1:12" ht="19.5">
      <c r="A8" s="388" t="s">
        <v>2</v>
      </c>
      <c r="B8" s="902">
        <v>10466</v>
      </c>
      <c r="C8" s="903">
        <v>0</v>
      </c>
      <c r="D8" s="903">
        <v>0</v>
      </c>
      <c r="E8" s="903">
        <v>153</v>
      </c>
      <c r="F8" s="903">
        <v>5402</v>
      </c>
      <c r="G8" s="903">
        <v>3082</v>
      </c>
      <c r="H8" s="903">
        <v>315</v>
      </c>
      <c r="I8" s="903">
        <v>935</v>
      </c>
      <c r="J8" s="903">
        <v>539</v>
      </c>
      <c r="K8" s="904">
        <v>40</v>
      </c>
      <c r="L8" s="8"/>
    </row>
    <row r="9" spans="1:12" s="10" customFormat="1" ht="17.25">
      <c r="A9" s="389" t="s">
        <v>71</v>
      </c>
      <c r="B9" s="905">
        <v>1476</v>
      </c>
      <c r="C9" s="906">
        <v>0</v>
      </c>
      <c r="D9" s="906">
        <v>0</v>
      </c>
      <c r="E9" s="906">
        <v>0</v>
      </c>
      <c r="F9" s="906">
        <v>0</v>
      </c>
      <c r="G9" s="906">
        <v>0</v>
      </c>
      <c r="H9" s="906">
        <v>22</v>
      </c>
      <c r="I9" s="906">
        <v>881</v>
      </c>
      <c r="J9" s="906">
        <v>533</v>
      </c>
      <c r="K9" s="907">
        <v>40</v>
      </c>
      <c r="L9" s="9"/>
    </row>
    <row r="10" spans="1:12" s="12" customFormat="1" ht="17.25">
      <c r="A10" s="390" t="s">
        <v>72</v>
      </c>
      <c r="B10" s="908">
        <v>8966</v>
      </c>
      <c r="C10" s="909">
        <v>0</v>
      </c>
      <c r="D10" s="909">
        <v>0</v>
      </c>
      <c r="E10" s="909">
        <v>153</v>
      </c>
      <c r="F10" s="909">
        <v>5402</v>
      </c>
      <c r="G10" s="909">
        <v>3082</v>
      </c>
      <c r="H10" s="909">
        <v>293</v>
      </c>
      <c r="I10" s="909">
        <v>35</v>
      </c>
      <c r="J10" s="909">
        <v>1</v>
      </c>
      <c r="K10" s="910">
        <v>0</v>
      </c>
      <c r="L10" s="11"/>
    </row>
    <row r="11" spans="1:12" s="12" customFormat="1" ht="18" thickBot="1">
      <c r="A11" s="391" t="s">
        <v>73</v>
      </c>
      <c r="B11" s="911">
        <v>24</v>
      </c>
      <c r="C11" s="912">
        <v>0</v>
      </c>
      <c r="D11" s="912">
        <v>0</v>
      </c>
      <c r="E11" s="912">
        <v>0</v>
      </c>
      <c r="F11" s="912">
        <v>0</v>
      </c>
      <c r="G11" s="912">
        <v>0</v>
      </c>
      <c r="H11" s="912">
        <v>0</v>
      </c>
      <c r="I11" s="912">
        <v>19</v>
      </c>
      <c r="J11" s="912">
        <v>5</v>
      </c>
      <c r="K11" s="913">
        <v>0</v>
      </c>
      <c r="L11" s="11"/>
    </row>
    <row r="12" spans="1:12" s="12" customFormat="1" ht="18" thickTop="1">
      <c r="A12" s="392" t="s">
        <v>74</v>
      </c>
      <c r="B12" s="378"/>
      <c r="C12" s="378"/>
      <c r="D12" s="378"/>
      <c r="E12" s="378"/>
      <c r="F12" s="378"/>
      <c r="G12" s="378"/>
      <c r="H12" s="378"/>
      <c r="I12" s="378"/>
      <c r="J12" s="378"/>
      <c r="K12" s="378"/>
      <c r="L12" s="11"/>
    </row>
    <row r="13" spans="1:12" s="12" customFormat="1" ht="17.25">
      <c r="A13" s="378"/>
      <c r="B13" s="378"/>
      <c r="C13" s="378"/>
      <c r="D13" s="378"/>
      <c r="E13" s="378"/>
      <c r="F13" s="378"/>
      <c r="G13" s="378"/>
      <c r="H13" s="378"/>
      <c r="I13" s="378"/>
      <c r="J13" s="378"/>
      <c r="K13" s="378"/>
      <c r="L13" s="11"/>
    </row>
    <row r="14" spans="1:12" s="13" customFormat="1" ht="16.5">
      <c r="A14" s="378"/>
      <c r="B14" s="378"/>
      <c r="C14" s="378"/>
      <c r="D14" s="378"/>
      <c r="E14" s="378"/>
      <c r="F14" s="378"/>
      <c r="G14" s="378"/>
      <c r="H14" s="378"/>
      <c r="I14" s="378"/>
      <c r="J14" s="378"/>
      <c r="K14" s="378"/>
      <c r="L14" s="14"/>
    </row>
    <row r="15" spans="1:12" s="15" customFormat="1" ht="13.5">
      <c r="A15" s="393" t="s">
        <v>88</v>
      </c>
      <c r="B15" s="393"/>
      <c r="C15" s="393"/>
      <c r="D15" s="393"/>
      <c r="E15" s="393"/>
      <c r="F15" s="393"/>
      <c r="G15" s="393"/>
      <c r="H15" s="393"/>
      <c r="I15" s="393"/>
      <c r="J15" s="393"/>
      <c r="K15" s="393"/>
      <c r="L15" s="16"/>
    </row>
    <row r="16" spans="1:12" s="10" customFormat="1" ht="17.25">
      <c r="A16" s="393" t="s">
        <v>75</v>
      </c>
      <c r="B16" s="393"/>
      <c r="C16" s="393"/>
      <c r="D16" s="393"/>
      <c r="E16" s="393"/>
      <c r="F16" s="393"/>
      <c r="G16" s="393"/>
      <c r="H16" s="393"/>
      <c r="I16" s="393"/>
      <c r="J16" s="393"/>
      <c r="K16" s="393"/>
      <c r="L16" s="9"/>
    </row>
    <row r="17" spans="1:12" s="10" customFormat="1" ht="18" thickBot="1">
      <c r="A17" s="394"/>
      <c r="B17" s="378"/>
      <c r="C17" s="378"/>
      <c r="D17" s="378"/>
      <c r="E17" s="378"/>
      <c r="F17" s="378"/>
      <c r="G17" s="378"/>
      <c r="H17" s="378"/>
      <c r="I17" s="378"/>
      <c r="J17" s="378"/>
      <c r="K17" s="378"/>
      <c r="L17" s="9"/>
    </row>
    <row r="18" spans="1:12" s="12" customFormat="1" ht="18.75" thickTop="1" thickBot="1">
      <c r="A18" s="383" t="s">
        <v>69</v>
      </c>
      <c r="B18" s="384" t="s">
        <v>1</v>
      </c>
      <c r="C18" s="386" t="s">
        <v>11</v>
      </c>
      <c r="D18" s="386" t="s">
        <v>12</v>
      </c>
      <c r="E18" s="386" t="s">
        <v>13</v>
      </c>
      <c r="F18" s="386" t="s">
        <v>14</v>
      </c>
      <c r="G18" s="386" t="s">
        <v>15</v>
      </c>
      <c r="H18" s="386" t="s">
        <v>16</v>
      </c>
      <c r="I18" s="386" t="s">
        <v>17</v>
      </c>
      <c r="J18" s="386" t="s">
        <v>18</v>
      </c>
      <c r="K18" s="1188" t="s">
        <v>166</v>
      </c>
      <c r="L18" s="11"/>
    </row>
    <row r="19" spans="1:12" s="12" customFormat="1" ht="17.25">
      <c r="A19" s="395" t="s">
        <v>2</v>
      </c>
      <c r="B19" s="914">
        <v>4458</v>
      </c>
      <c r="C19" s="916">
        <v>0</v>
      </c>
      <c r="D19" s="916">
        <v>0</v>
      </c>
      <c r="E19" s="916">
        <v>61</v>
      </c>
      <c r="F19" s="916">
        <v>2081</v>
      </c>
      <c r="G19" s="916">
        <v>1025</v>
      </c>
      <c r="H19" s="916">
        <v>132</v>
      </c>
      <c r="I19" s="916">
        <v>730</v>
      </c>
      <c r="J19" s="916">
        <v>403</v>
      </c>
      <c r="K19" s="917">
        <v>26</v>
      </c>
      <c r="L19" s="11"/>
    </row>
    <row r="20" spans="1:12" s="12" customFormat="1" ht="17.25">
      <c r="A20" s="396" t="s">
        <v>71</v>
      </c>
      <c r="B20" s="918">
        <v>1164</v>
      </c>
      <c r="C20" s="920">
        <v>0</v>
      </c>
      <c r="D20" s="920">
        <v>0</v>
      </c>
      <c r="E20" s="920">
        <v>0</v>
      </c>
      <c r="F20" s="920">
        <v>0</v>
      </c>
      <c r="G20" s="920">
        <v>0</v>
      </c>
      <c r="H20" s="920">
        <v>22</v>
      </c>
      <c r="I20" s="920">
        <v>714</v>
      </c>
      <c r="J20" s="920">
        <v>402</v>
      </c>
      <c r="K20" s="921">
        <v>26</v>
      </c>
      <c r="L20" s="11"/>
    </row>
    <row r="21" spans="1:12" s="12" customFormat="1" ht="17.25">
      <c r="A21" s="397" t="s">
        <v>72</v>
      </c>
      <c r="B21" s="922">
        <v>3285</v>
      </c>
      <c r="C21" s="924">
        <v>0</v>
      </c>
      <c r="D21" s="924">
        <v>0</v>
      </c>
      <c r="E21" s="924">
        <v>61</v>
      </c>
      <c r="F21" s="924">
        <v>2081</v>
      </c>
      <c r="G21" s="924">
        <v>1025</v>
      </c>
      <c r="H21" s="924">
        <v>110</v>
      </c>
      <c r="I21" s="924">
        <v>8</v>
      </c>
      <c r="J21" s="924">
        <v>0</v>
      </c>
      <c r="K21" s="925">
        <v>0</v>
      </c>
      <c r="L21" s="11"/>
    </row>
    <row r="22" spans="1:12" s="17" customFormat="1" ht="20.25" thickBot="1">
      <c r="A22" s="398" t="s">
        <v>73</v>
      </c>
      <c r="B22" s="926">
        <v>9</v>
      </c>
      <c r="C22" s="928">
        <v>0</v>
      </c>
      <c r="D22" s="928">
        <v>0</v>
      </c>
      <c r="E22" s="928">
        <v>0</v>
      </c>
      <c r="F22" s="928">
        <v>0</v>
      </c>
      <c r="G22" s="928">
        <v>0</v>
      </c>
      <c r="H22" s="928">
        <v>0</v>
      </c>
      <c r="I22" s="928">
        <v>8</v>
      </c>
      <c r="J22" s="928">
        <v>1</v>
      </c>
      <c r="K22" s="929">
        <v>0</v>
      </c>
      <c r="L22" s="8"/>
    </row>
    <row r="23" spans="1:12" s="18" customFormat="1" ht="18" thickTop="1">
      <c r="A23" s="378"/>
      <c r="B23" s="378"/>
      <c r="C23" s="378"/>
      <c r="D23" s="378"/>
      <c r="E23" s="378"/>
      <c r="F23" s="378"/>
      <c r="G23" s="378"/>
      <c r="H23" s="378"/>
      <c r="I23" s="378"/>
      <c r="J23" s="378"/>
      <c r="K23" s="378"/>
      <c r="L23" s="9"/>
    </row>
    <row r="24" spans="1:12" s="10" customFormat="1" ht="17.25">
      <c r="A24" s="378"/>
      <c r="B24" s="378"/>
      <c r="C24" s="378"/>
      <c r="D24" s="378"/>
      <c r="E24" s="378"/>
      <c r="F24" s="378"/>
      <c r="G24" s="378"/>
      <c r="H24" s="378"/>
      <c r="I24" s="378"/>
      <c r="J24" s="378"/>
      <c r="K24" s="378"/>
      <c r="L24" s="9"/>
    </row>
    <row r="25" spans="1:12" s="12" customFormat="1" ht="17.25">
      <c r="A25" s="393" t="s">
        <v>89</v>
      </c>
      <c r="B25" s="393"/>
      <c r="C25" s="393"/>
      <c r="D25" s="393"/>
      <c r="E25" s="393"/>
      <c r="F25" s="393"/>
      <c r="G25" s="393"/>
      <c r="H25" s="393"/>
      <c r="I25" s="393"/>
      <c r="J25" s="393"/>
      <c r="K25" s="393"/>
      <c r="L25" s="11"/>
    </row>
    <row r="26" spans="1:12" s="12" customFormat="1" ht="17.25">
      <c r="A26" s="393" t="s">
        <v>76</v>
      </c>
      <c r="B26" s="393"/>
      <c r="C26" s="393"/>
      <c r="D26" s="393"/>
      <c r="E26" s="393"/>
      <c r="F26" s="393"/>
      <c r="G26" s="393"/>
      <c r="H26" s="393"/>
      <c r="I26" s="393"/>
      <c r="J26" s="393"/>
      <c r="K26" s="393"/>
      <c r="L26" s="11"/>
    </row>
    <row r="27" spans="1:12" s="12" customFormat="1" ht="18" thickBot="1">
      <c r="A27" s="394"/>
      <c r="B27" s="378"/>
      <c r="C27" s="378"/>
      <c r="D27" s="378"/>
      <c r="E27" s="378"/>
      <c r="F27" s="378"/>
      <c r="G27" s="378"/>
      <c r="H27" s="378"/>
      <c r="I27" s="378"/>
      <c r="J27" s="378"/>
      <c r="K27" s="378"/>
      <c r="L27" s="11"/>
    </row>
    <row r="28" spans="1:12" s="12" customFormat="1" ht="18.75" thickTop="1" thickBot="1">
      <c r="A28" s="383" t="s">
        <v>69</v>
      </c>
      <c r="B28" s="384" t="s">
        <v>1</v>
      </c>
      <c r="C28" s="386" t="s">
        <v>11</v>
      </c>
      <c r="D28" s="386" t="s">
        <v>12</v>
      </c>
      <c r="E28" s="386" t="s">
        <v>13</v>
      </c>
      <c r="F28" s="386" t="s">
        <v>14</v>
      </c>
      <c r="G28" s="386" t="s">
        <v>15</v>
      </c>
      <c r="H28" s="386" t="s">
        <v>16</v>
      </c>
      <c r="I28" s="386" t="s">
        <v>17</v>
      </c>
      <c r="J28" s="386" t="s">
        <v>18</v>
      </c>
      <c r="K28" s="1188" t="s">
        <v>166</v>
      </c>
      <c r="L28" s="11"/>
    </row>
    <row r="29" spans="1:12" ht="19.5">
      <c r="A29" s="395" t="s">
        <v>2</v>
      </c>
      <c r="B29" s="914">
        <v>6008</v>
      </c>
      <c r="C29" s="916">
        <v>0</v>
      </c>
      <c r="D29" s="916">
        <v>0</v>
      </c>
      <c r="E29" s="916">
        <v>92</v>
      </c>
      <c r="F29" s="916">
        <v>3321</v>
      </c>
      <c r="G29" s="916">
        <v>2057</v>
      </c>
      <c r="H29" s="916">
        <v>183</v>
      </c>
      <c r="I29" s="916">
        <v>205</v>
      </c>
      <c r="J29" s="916">
        <v>136</v>
      </c>
      <c r="K29" s="917">
        <v>14</v>
      </c>
      <c r="L29" s="8"/>
    </row>
    <row r="30" spans="1:12" s="20" customFormat="1" ht="19.5">
      <c r="A30" s="396" t="s">
        <v>71</v>
      </c>
      <c r="B30" s="918">
        <v>312</v>
      </c>
      <c r="C30" s="920">
        <v>0</v>
      </c>
      <c r="D30" s="920">
        <v>0</v>
      </c>
      <c r="E30" s="920">
        <v>0</v>
      </c>
      <c r="F30" s="920">
        <v>0</v>
      </c>
      <c r="G30" s="920">
        <v>0</v>
      </c>
      <c r="H30" s="920">
        <v>0</v>
      </c>
      <c r="I30" s="920">
        <v>167</v>
      </c>
      <c r="J30" s="920">
        <v>131</v>
      </c>
      <c r="K30" s="921">
        <v>14</v>
      </c>
      <c r="L30" s="19"/>
    </row>
    <row r="31" spans="1:12" s="21" customFormat="1" ht="17.25">
      <c r="A31" s="397" t="s">
        <v>72</v>
      </c>
      <c r="B31" s="922">
        <v>5681</v>
      </c>
      <c r="C31" s="924">
        <v>0</v>
      </c>
      <c r="D31" s="924">
        <v>0</v>
      </c>
      <c r="E31" s="924">
        <v>92</v>
      </c>
      <c r="F31" s="924">
        <v>3321</v>
      </c>
      <c r="G31" s="924">
        <v>2057</v>
      </c>
      <c r="H31" s="924">
        <v>183</v>
      </c>
      <c r="I31" s="924">
        <v>27</v>
      </c>
      <c r="J31" s="924">
        <v>1</v>
      </c>
      <c r="K31" s="925">
        <v>0</v>
      </c>
      <c r="L31" s="16"/>
    </row>
    <row r="32" spans="1:12" s="12" customFormat="1" ht="18" thickBot="1">
      <c r="A32" s="398" t="s">
        <v>73</v>
      </c>
      <c r="B32" s="926">
        <v>15</v>
      </c>
      <c r="C32" s="928">
        <v>0</v>
      </c>
      <c r="D32" s="928">
        <v>0</v>
      </c>
      <c r="E32" s="928">
        <v>0</v>
      </c>
      <c r="F32" s="928">
        <v>0</v>
      </c>
      <c r="G32" s="928">
        <v>0</v>
      </c>
      <c r="H32" s="928">
        <v>0</v>
      </c>
      <c r="I32" s="928">
        <v>11</v>
      </c>
      <c r="J32" s="928">
        <v>4</v>
      </c>
      <c r="K32" s="929">
        <v>0</v>
      </c>
      <c r="L32" s="16"/>
    </row>
    <row r="33" spans="1:12" s="12" customFormat="1" ht="18" thickTop="1">
      <c r="A33" s="378"/>
      <c r="B33" s="378"/>
      <c r="C33" s="378"/>
      <c r="D33" s="378"/>
      <c r="E33" s="378"/>
      <c r="F33" s="378"/>
      <c r="G33" s="378"/>
      <c r="H33" s="378"/>
      <c r="I33" s="378"/>
      <c r="J33" s="378"/>
      <c r="K33" s="378"/>
      <c r="L33" s="16"/>
    </row>
    <row r="34" spans="1:12" s="12" customFormat="1" ht="17.25">
      <c r="A34" s="378"/>
      <c r="B34" s="378"/>
      <c r="C34" s="378"/>
      <c r="D34" s="378"/>
      <c r="E34" s="378"/>
      <c r="F34" s="378"/>
      <c r="G34" s="378"/>
      <c r="H34" s="378"/>
      <c r="I34" s="378"/>
      <c r="J34" s="378"/>
      <c r="K34" s="378"/>
      <c r="L34" s="16"/>
    </row>
    <row r="35" spans="1:12" s="15" customFormat="1" ht="17.25">
      <c r="A35" s="382" t="s">
        <v>77</v>
      </c>
      <c r="B35" s="378"/>
      <c r="C35" s="378"/>
      <c r="D35" s="378"/>
      <c r="E35" s="378"/>
      <c r="F35" s="378"/>
      <c r="G35" s="378"/>
      <c r="H35" s="378"/>
      <c r="I35" s="378"/>
      <c r="J35" s="378"/>
      <c r="K35" s="378"/>
      <c r="L35" s="16"/>
    </row>
    <row r="36" spans="1:12" s="23" customFormat="1" ht="13.5">
      <c r="A36" s="393" t="s">
        <v>78</v>
      </c>
      <c r="B36" s="393"/>
      <c r="C36" s="393"/>
      <c r="D36" s="393"/>
      <c r="E36" s="393"/>
      <c r="F36" s="393"/>
      <c r="G36" s="393"/>
      <c r="H36" s="393"/>
      <c r="I36" s="393"/>
      <c r="J36" s="393"/>
      <c r="K36" s="393"/>
      <c r="L36" s="22"/>
    </row>
    <row r="37" spans="1:12" ht="20.25" thickBot="1">
      <c r="A37" s="378"/>
      <c r="B37" s="378"/>
      <c r="C37" s="378"/>
      <c r="D37" s="378"/>
      <c r="E37" s="378"/>
      <c r="F37" s="378"/>
      <c r="G37" s="378"/>
      <c r="H37" s="378"/>
      <c r="I37" s="378"/>
      <c r="J37" s="378"/>
      <c r="K37" s="378"/>
    </row>
    <row r="38" spans="1:12" ht="28.5" thickTop="1" thickBot="1">
      <c r="A38" s="383" t="s">
        <v>69</v>
      </c>
      <c r="B38" s="384" t="s">
        <v>1</v>
      </c>
      <c r="C38" s="385" t="s">
        <v>19</v>
      </c>
      <c r="D38" s="386" t="s">
        <v>20</v>
      </c>
      <c r="E38" s="386" t="s">
        <v>21</v>
      </c>
      <c r="F38" s="399" t="s">
        <v>173</v>
      </c>
      <c r="G38" s="399" t="s">
        <v>174</v>
      </c>
      <c r="H38" s="399" t="s">
        <v>175</v>
      </c>
      <c r="I38" s="1188" t="s">
        <v>176</v>
      </c>
      <c r="J38" s="1189"/>
      <c r="K38" s="1189"/>
    </row>
    <row r="39" spans="1:12" ht="19.5">
      <c r="A39" s="395" t="s">
        <v>2</v>
      </c>
      <c r="B39" s="914">
        <v>7946</v>
      </c>
      <c r="C39" s="915">
        <v>3931</v>
      </c>
      <c r="D39" s="916">
        <v>102</v>
      </c>
      <c r="E39" s="916">
        <v>486</v>
      </c>
      <c r="F39" s="916">
        <v>0</v>
      </c>
      <c r="G39" s="916">
        <v>1</v>
      </c>
      <c r="H39" s="916">
        <v>3426</v>
      </c>
      <c r="I39" s="1190"/>
      <c r="J39" s="1191"/>
      <c r="K39" s="1191"/>
    </row>
    <row r="40" spans="1:12" ht="19.5">
      <c r="A40" s="396" t="s">
        <v>71</v>
      </c>
      <c r="B40" s="918">
        <v>354</v>
      </c>
      <c r="C40" s="919">
        <v>192</v>
      </c>
      <c r="D40" s="920">
        <v>19</v>
      </c>
      <c r="E40" s="920">
        <v>143</v>
      </c>
      <c r="F40" s="920">
        <v>0</v>
      </c>
      <c r="G40" s="920">
        <v>0</v>
      </c>
      <c r="H40" s="920">
        <v>0</v>
      </c>
      <c r="I40" s="1132" t="s">
        <v>177</v>
      </c>
      <c r="J40" s="1133"/>
      <c r="K40" s="1133"/>
    </row>
    <row r="41" spans="1:12" ht="19.5">
      <c r="A41" s="397" t="s">
        <v>72</v>
      </c>
      <c r="B41" s="922">
        <v>7569</v>
      </c>
      <c r="C41" s="923">
        <v>3733</v>
      </c>
      <c r="D41" s="924">
        <v>83</v>
      </c>
      <c r="E41" s="924">
        <v>337</v>
      </c>
      <c r="F41" s="924">
        <v>0</v>
      </c>
      <c r="G41" s="924">
        <v>1</v>
      </c>
      <c r="H41" s="924">
        <v>3415</v>
      </c>
      <c r="I41" s="1124" t="s">
        <v>178</v>
      </c>
      <c r="J41" s="1125"/>
      <c r="K41" s="1125"/>
    </row>
    <row r="42" spans="1:12" ht="20.25" thickBot="1">
      <c r="A42" s="398" t="s">
        <v>73</v>
      </c>
      <c r="B42" s="926">
        <v>23</v>
      </c>
      <c r="C42" s="927">
        <v>6</v>
      </c>
      <c r="D42" s="928">
        <v>0</v>
      </c>
      <c r="E42" s="928">
        <v>6</v>
      </c>
      <c r="F42" s="928">
        <v>0</v>
      </c>
      <c r="G42" s="928">
        <v>0</v>
      </c>
      <c r="H42" s="928">
        <v>11</v>
      </c>
      <c r="I42" s="1126" t="s">
        <v>179</v>
      </c>
      <c r="J42" s="1127"/>
      <c r="K42" s="1127"/>
    </row>
    <row r="43" spans="1:12" ht="20.25" thickTop="1">
      <c r="A43" s="400" t="s">
        <v>86</v>
      </c>
      <c r="B43" s="401"/>
      <c r="C43" s="401"/>
      <c r="D43" s="401"/>
      <c r="E43" s="401"/>
      <c r="F43" s="401"/>
      <c r="G43" s="401"/>
      <c r="H43" s="401"/>
      <c r="I43" s="401"/>
      <c r="J43" s="401"/>
      <c r="K43" s="401"/>
    </row>
    <row r="44" spans="1:12" ht="19.5"/>
    <row r="45" spans="1:12" ht="19.5"/>
    <row r="46" spans="1:12" ht="19.5"/>
    <row r="47" spans="1:12" ht="19.5"/>
    <row r="48" spans="1:12" ht="19.5"/>
    <row r="49" ht="19.5"/>
    <row r="50" ht="19.5"/>
  </sheetData>
  <mergeCells count="3">
    <mergeCell ref="A2:K2"/>
    <mergeCell ref="I6:K6"/>
    <mergeCell ref="D3:F3"/>
  </mergeCells>
  <phoneticPr fontId="3" type="noConversion"/>
  <printOptions horizontalCentered="1"/>
  <pageMargins left="0.31496062992125984" right="0.31496062992125984" top="0.94488188976377963" bottom="0.51181102362204722" header="0.70866141732283472" footer="0.31496062992125984"/>
  <pageSetup paperSize="9" scale="67" fitToWidth="0" fitToHeight="0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L50"/>
  <sheetViews>
    <sheetView showGridLines="0" zoomScale="85" zoomScaleNormal="85" zoomScaleSheetLayoutView="70" workbookViewId="0">
      <selection activeCell="B8" sqref="B8:B11"/>
    </sheetView>
  </sheetViews>
  <sheetFormatPr defaultColWidth="16.42578125" defaultRowHeight="39.950000000000003" customHeight="1"/>
  <cols>
    <col min="1" max="1" width="15.5703125" style="7" customWidth="1"/>
    <col min="2" max="2" width="14.42578125" style="7" customWidth="1"/>
    <col min="3" max="6" width="10.42578125" style="7" customWidth="1"/>
    <col min="7" max="7" width="12.140625" style="7" customWidth="1"/>
    <col min="8" max="10" width="10.42578125" style="7" customWidth="1"/>
    <col min="11" max="11" width="16.5703125" style="7" customWidth="1"/>
    <col min="12" max="12" width="2.140625" style="7" customWidth="1"/>
    <col min="13" max="16384" width="16.42578125" style="7"/>
  </cols>
  <sheetData>
    <row r="1" spans="1:12" s="2" customFormat="1" ht="25.5">
      <c r="A1" s="402"/>
      <c r="B1" s="402"/>
      <c r="C1" s="402"/>
      <c r="D1" s="402"/>
      <c r="E1" s="402"/>
      <c r="F1" s="402"/>
      <c r="G1" s="402"/>
      <c r="H1" s="402"/>
      <c r="I1" s="402"/>
      <c r="J1" s="402"/>
      <c r="K1" s="402"/>
      <c r="L1" s="1"/>
    </row>
    <row r="2" spans="1:12" s="2" customFormat="1" ht="26.25">
      <c r="A2" s="1359" t="s">
        <v>67</v>
      </c>
      <c r="B2" s="1359"/>
      <c r="C2" s="1359"/>
      <c r="D2" s="1359"/>
      <c r="E2" s="1359"/>
      <c r="F2" s="1359"/>
      <c r="G2" s="1359"/>
      <c r="H2" s="1359"/>
      <c r="I2" s="1359"/>
      <c r="J2" s="1359"/>
      <c r="K2" s="1359"/>
      <c r="L2" s="1"/>
    </row>
    <row r="3" spans="1:12" s="2" customFormat="1" ht="25.5">
      <c r="A3" s="403"/>
      <c r="B3" s="404"/>
      <c r="C3" s="404"/>
      <c r="D3" s="1361" t="s">
        <v>105</v>
      </c>
      <c r="E3" s="1361"/>
      <c r="F3" s="1361"/>
      <c r="G3" s="404"/>
      <c r="H3" s="404"/>
      <c r="I3" s="404"/>
      <c r="J3" s="404"/>
      <c r="K3" s="404"/>
      <c r="L3" s="1"/>
    </row>
    <row r="4" spans="1:12" s="2" customFormat="1" ht="25.5">
      <c r="A4" s="403"/>
      <c r="B4" s="404"/>
      <c r="C4" s="404"/>
      <c r="D4" s="405"/>
      <c r="E4" s="405"/>
      <c r="F4" s="405"/>
      <c r="G4" s="404"/>
      <c r="H4" s="404"/>
      <c r="I4" s="404"/>
      <c r="J4" s="404"/>
      <c r="K4" s="404"/>
      <c r="L4" s="1"/>
    </row>
    <row r="5" spans="1:12" s="2" customFormat="1" ht="25.5">
      <c r="A5" s="406" t="s">
        <v>87</v>
      </c>
      <c r="B5" s="402"/>
      <c r="C5" s="402"/>
      <c r="D5" s="402"/>
      <c r="E5" s="402"/>
      <c r="F5" s="402"/>
      <c r="G5" s="402"/>
      <c r="H5" s="402"/>
      <c r="I5" s="402"/>
      <c r="J5" s="402"/>
      <c r="K5" s="402"/>
      <c r="L5" s="1"/>
    </row>
    <row r="6" spans="1:12" s="4" customFormat="1" ht="21" thickBot="1">
      <c r="A6" s="402"/>
      <c r="B6" s="402"/>
      <c r="C6" s="402"/>
      <c r="D6" s="402"/>
      <c r="E6" s="402"/>
      <c r="F6" s="402"/>
      <c r="G6" s="402"/>
      <c r="H6" s="402"/>
      <c r="I6" s="1360" t="s">
        <v>189</v>
      </c>
      <c r="J6" s="1360"/>
      <c r="K6" s="1360"/>
      <c r="L6" s="3"/>
    </row>
    <row r="7" spans="1:12" s="5" customFormat="1" ht="21.75" thickTop="1" thickBot="1">
      <c r="A7" s="407" t="s">
        <v>69</v>
      </c>
      <c r="B7" s="408" t="s">
        <v>1</v>
      </c>
      <c r="C7" s="410" t="s">
        <v>11</v>
      </c>
      <c r="D7" s="410" t="s">
        <v>12</v>
      </c>
      <c r="E7" s="410" t="s">
        <v>13</v>
      </c>
      <c r="F7" s="410" t="s">
        <v>14</v>
      </c>
      <c r="G7" s="410" t="s">
        <v>15</v>
      </c>
      <c r="H7" s="410" t="s">
        <v>16</v>
      </c>
      <c r="I7" s="410" t="s">
        <v>17</v>
      </c>
      <c r="J7" s="410" t="s">
        <v>18</v>
      </c>
      <c r="K7" s="411" t="s">
        <v>166</v>
      </c>
      <c r="L7" s="6"/>
    </row>
    <row r="8" spans="1:12" ht="19.5">
      <c r="A8" s="412" t="s">
        <v>2</v>
      </c>
      <c r="B8" s="930">
        <v>11648</v>
      </c>
      <c r="C8" s="931">
        <v>0</v>
      </c>
      <c r="D8" s="931">
        <v>0</v>
      </c>
      <c r="E8" s="931">
        <v>202</v>
      </c>
      <c r="F8" s="931">
        <v>6110</v>
      </c>
      <c r="G8" s="931">
        <v>3789</v>
      </c>
      <c r="H8" s="931">
        <v>397</v>
      </c>
      <c r="I8" s="931">
        <v>756</v>
      </c>
      <c r="J8" s="931">
        <v>375</v>
      </c>
      <c r="K8" s="932">
        <v>19</v>
      </c>
      <c r="L8" s="8"/>
    </row>
    <row r="9" spans="1:12" s="10" customFormat="1" ht="17.25">
      <c r="A9" s="413" t="s">
        <v>71</v>
      </c>
      <c r="B9" s="933">
        <v>1074</v>
      </c>
      <c r="C9" s="934">
        <v>0</v>
      </c>
      <c r="D9" s="934">
        <v>0</v>
      </c>
      <c r="E9" s="934">
        <v>0</v>
      </c>
      <c r="F9" s="934">
        <v>0</v>
      </c>
      <c r="G9" s="934">
        <v>0</v>
      </c>
      <c r="H9" s="934">
        <v>21</v>
      </c>
      <c r="I9" s="934">
        <v>668</v>
      </c>
      <c r="J9" s="934">
        <v>367</v>
      </c>
      <c r="K9" s="935">
        <v>18</v>
      </c>
      <c r="L9" s="9"/>
    </row>
    <row r="10" spans="1:12" s="12" customFormat="1" ht="17.25">
      <c r="A10" s="414" t="s">
        <v>72</v>
      </c>
      <c r="B10" s="936">
        <v>10546</v>
      </c>
      <c r="C10" s="937">
        <v>0</v>
      </c>
      <c r="D10" s="937">
        <v>0</v>
      </c>
      <c r="E10" s="937">
        <v>202</v>
      </c>
      <c r="F10" s="937">
        <v>6110</v>
      </c>
      <c r="G10" s="937">
        <v>3789</v>
      </c>
      <c r="H10" s="937">
        <v>376</v>
      </c>
      <c r="I10" s="937">
        <v>69</v>
      </c>
      <c r="J10" s="937">
        <v>0</v>
      </c>
      <c r="K10" s="938">
        <v>0</v>
      </c>
      <c r="L10" s="11"/>
    </row>
    <row r="11" spans="1:12" s="12" customFormat="1" ht="18" thickBot="1">
      <c r="A11" s="415" t="s">
        <v>73</v>
      </c>
      <c r="B11" s="939">
        <v>28</v>
      </c>
      <c r="C11" s="940">
        <v>0</v>
      </c>
      <c r="D11" s="940">
        <v>0</v>
      </c>
      <c r="E11" s="940">
        <v>0</v>
      </c>
      <c r="F11" s="940">
        <v>0</v>
      </c>
      <c r="G11" s="940">
        <v>0</v>
      </c>
      <c r="H11" s="940">
        <v>0</v>
      </c>
      <c r="I11" s="940">
        <v>19</v>
      </c>
      <c r="J11" s="940">
        <v>8</v>
      </c>
      <c r="K11" s="941">
        <v>1</v>
      </c>
      <c r="L11" s="11"/>
    </row>
    <row r="12" spans="1:12" s="12" customFormat="1" ht="18" thickTop="1">
      <c r="A12" s="416" t="s">
        <v>74</v>
      </c>
      <c r="B12" s="402"/>
      <c r="C12" s="402"/>
      <c r="D12" s="402"/>
      <c r="E12" s="402"/>
      <c r="F12" s="402"/>
      <c r="G12" s="402"/>
      <c r="H12" s="402"/>
      <c r="I12" s="402"/>
      <c r="J12" s="402"/>
      <c r="K12" s="402"/>
      <c r="L12" s="11"/>
    </row>
    <row r="13" spans="1:12" s="12" customFormat="1" ht="17.25">
      <c r="A13" s="402"/>
      <c r="B13" s="402"/>
      <c r="C13" s="402"/>
      <c r="D13" s="402"/>
      <c r="E13" s="402"/>
      <c r="F13" s="402"/>
      <c r="G13" s="402"/>
      <c r="H13" s="402"/>
      <c r="I13" s="402"/>
      <c r="J13" s="402"/>
      <c r="K13" s="402"/>
      <c r="L13" s="11"/>
    </row>
    <row r="14" spans="1:12" s="13" customFormat="1" ht="16.5">
      <c r="A14" s="402"/>
      <c r="B14" s="402"/>
      <c r="C14" s="402"/>
      <c r="D14" s="402"/>
      <c r="E14" s="402"/>
      <c r="F14" s="402"/>
      <c r="G14" s="402"/>
      <c r="H14" s="402"/>
      <c r="I14" s="402"/>
      <c r="J14" s="402"/>
      <c r="K14" s="402"/>
      <c r="L14" s="14"/>
    </row>
    <row r="15" spans="1:12" s="15" customFormat="1" ht="13.5">
      <c r="A15" s="417" t="s">
        <v>88</v>
      </c>
      <c r="B15" s="417"/>
      <c r="C15" s="417"/>
      <c r="D15" s="417"/>
      <c r="E15" s="417"/>
      <c r="F15" s="417"/>
      <c r="G15" s="417"/>
      <c r="H15" s="417"/>
      <c r="I15" s="417"/>
      <c r="J15" s="417"/>
      <c r="K15" s="417"/>
      <c r="L15" s="16"/>
    </row>
    <row r="16" spans="1:12" s="10" customFormat="1" ht="17.25">
      <c r="A16" s="417" t="s">
        <v>75</v>
      </c>
      <c r="B16" s="417"/>
      <c r="C16" s="417"/>
      <c r="D16" s="417"/>
      <c r="E16" s="417"/>
      <c r="F16" s="417"/>
      <c r="G16" s="417"/>
      <c r="H16" s="417"/>
      <c r="I16" s="417"/>
      <c r="J16" s="417"/>
      <c r="K16" s="417"/>
      <c r="L16" s="9"/>
    </row>
    <row r="17" spans="1:12" s="10" customFormat="1" ht="18" thickBot="1">
      <c r="A17" s="418"/>
      <c r="B17" s="402"/>
      <c r="C17" s="402"/>
      <c r="D17" s="402"/>
      <c r="E17" s="402"/>
      <c r="F17" s="402"/>
      <c r="G17" s="402"/>
      <c r="H17" s="402"/>
      <c r="I17" s="402"/>
      <c r="J17" s="402"/>
      <c r="K17" s="402"/>
      <c r="L17" s="9"/>
    </row>
    <row r="18" spans="1:12" s="12" customFormat="1" ht="18.75" thickTop="1" thickBot="1">
      <c r="A18" s="407" t="s">
        <v>69</v>
      </c>
      <c r="B18" s="408" t="s">
        <v>1</v>
      </c>
      <c r="C18" s="410" t="s">
        <v>11</v>
      </c>
      <c r="D18" s="410" t="s">
        <v>12</v>
      </c>
      <c r="E18" s="410" t="s">
        <v>13</v>
      </c>
      <c r="F18" s="410" t="s">
        <v>14</v>
      </c>
      <c r="G18" s="410" t="s">
        <v>15</v>
      </c>
      <c r="H18" s="410" t="s">
        <v>16</v>
      </c>
      <c r="I18" s="410" t="s">
        <v>17</v>
      </c>
      <c r="J18" s="410" t="s">
        <v>18</v>
      </c>
      <c r="K18" s="1192" t="s">
        <v>166</v>
      </c>
      <c r="L18" s="11"/>
    </row>
    <row r="19" spans="1:12" s="12" customFormat="1" ht="17.25">
      <c r="A19" s="419" t="s">
        <v>2</v>
      </c>
      <c r="B19" s="942">
        <v>6062</v>
      </c>
      <c r="C19" s="944">
        <v>0</v>
      </c>
      <c r="D19" s="944">
        <v>0</v>
      </c>
      <c r="E19" s="944">
        <v>103</v>
      </c>
      <c r="F19" s="944">
        <v>3118</v>
      </c>
      <c r="G19" s="944">
        <v>1737</v>
      </c>
      <c r="H19" s="944">
        <v>209</v>
      </c>
      <c r="I19" s="944">
        <v>603</v>
      </c>
      <c r="J19" s="944">
        <v>278</v>
      </c>
      <c r="K19" s="945">
        <v>14</v>
      </c>
      <c r="L19" s="11"/>
    </row>
    <row r="20" spans="1:12" s="12" customFormat="1" ht="17.25">
      <c r="A20" s="420" t="s">
        <v>71</v>
      </c>
      <c r="B20" s="946">
        <v>873</v>
      </c>
      <c r="C20" s="948">
        <v>0</v>
      </c>
      <c r="D20" s="948">
        <v>0</v>
      </c>
      <c r="E20" s="948">
        <v>0</v>
      </c>
      <c r="F20" s="948">
        <v>0</v>
      </c>
      <c r="G20" s="948">
        <v>0</v>
      </c>
      <c r="H20" s="948">
        <v>21</v>
      </c>
      <c r="I20" s="948">
        <v>564</v>
      </c>
      <c r="J20" s="948">
        <v>275</v>
      </c>
      <c r="K20" s="949">
        <v>13</v>
      </c>
      <c r="L20" s="11"/>
    </row>
    <row r="21" spans="1:12" s="12" customFormat="1" ht="17.25">
      <c r="A21" s="421" t="s">
        <v>72</v>
      </c>
      <c r="B21" s="950">
        <v>5178</v>
      </c>
      <c r="C21" s="952">
        <v>0</v>
      </c>
      <c r="D21" s="952">
        <v>0</v>
      </c>
      <c r="E21" s="952">
        <v>103</v>
      </c>
      <c r="F21" s="952">
        <v>3118</v>
      </c>
      <c r="G21" s="952">
        <v>1737</v>
      </c>
      <c r="H21" s="952">
        <v>188</v>
      </c>
      <c r="I21" s="952">
        <v>32</v>
      </c>
      <c r="J21" s="952">
        <v>0</v>
      </c>
      <c r="K21" s="953">
        <v>0</v>
      </c>
      <c r="L21" s="11"/>
    </row>
    <row r="22" spans="1:12" s="17" customFormat="1" ht="20.25" thickBot="1">
      <c r="A22" s="422" t="s">
        <v>73</v>
      </c>
      <c r="B22" s="954">
        <v>11</v>
      </c>
      <c r="C22" s="956">
        <v>0</v>
      </c>
      <c r="D22" s="956">
        <v>0</v>
      </c>
      <c r="E22" s="956">
        <v>0</v>
      </c>
      <c r="F22" s="956">
        <v>0</v>
      </c>
      <c r="G22" s="956">
        <v>0</v>
      </c>
      <c r="H22" s="956">
        <v>0</v>
      </c>
      <c r="I22" s="956">
        <v>7</v>
      </c>
      <c r="J22" s="956">
        <v>3</v>
      </c>
      <c r="K22" s="957">
        <v>1</v>
      </c>
      <c r="L22" s="8"/>
    </row>
    <row r="23" spans="1:12" s="18" customFormat="1" ht="18" thickTop="1">
      <c r="A23" s="402"/>
      <c r="B23" s="402"/>
      <c r="C23" s="402"/>
      <c r="D23" s="402"/>
      <c r="E23" s="402"/>
      <c r="F23" s="402"/>
      <c r="G23" s="402"/>
      <c r="H23" s="402"/>
      <c r="I23" s="402"/>
      <c r="J23" s="402"/>
      <c r="K23" s="402"/>
      <c r="L23" s="9"/>
    </row>
    <row r="24" spans="1:12" s="10" customFormat="1" ht="17.25">
      <c r="A24" s="402"/>
      <c r="B24" s="402"/>
      <c r="C24" s="402"/>
      <c r="D24" s="402"/>
      <c r="E24" s="402"/>
      <c r="F24" s="402"/>
      <c r="G24" s="402"/>
      <c r="H24" s="402"/>
      <c r="I24" s="402"/>
      <c r="J24" s="402"/>
      <c r="K24" s="402"/>
      <c r="L24" s="9"/>
    </row>
    <row r="25" spans="1:12" s="12" customFormat="1" ht="17.25">
      <c r="A25" s="417" t="s">
        <v>89</v>
      </c>
      <c r="B25" s="417"/>
      <c r="C25" s="417"/>
      <c r="D25" s="417"/>
      <c r="E25" s="417"/>
      <c r="F25" s="417"/>
      <c r="G25" s="417"/>
      <c r="H25" s="417"/>
      <c r="I25" s="417"/>
      <c r="J25" s="417"/>
      <c r="K25" s="417"/>
      <c r="L25" s="11"/>
    </row>
    <row r="26" spans="1:12" s="12" customFormat="1" ht="17.25">
      <c r="A26" s="417" t="s">
        <v>76</v>
      </c>
      <c r="B26" s="417"/>
      <c r="C26" s="417"/>
      <c r="D26" s="417"/>
      <c r="E26" s="417"/>
      <c r="F26" s="417"/>
      <c r="G26" s="417"/>
      <c r="H26" s="417"/>
      <c r="I26" s="417"/>
      <c r="J26" s="417"/>
      <c r="K26" s="417"/>
      <c r="L26" s="11"/>
    </row>
    <row r="27" spans="1:12" s="12" customFormat="1" ht="18" thickBot="1">
      <c r="A27" s="418"/>
      <c r="B27" s="402"/>
      <c r="C27" s="402"/>
      <c r="D27" s="402"/>
      <c r="E27" s="402"/>
      <c r="F27" s="402"/>
      <c r="G27" s="402"/>
      <c r="H27" s="402"/>
      <c r="I27" s="402"/>
      <c r="J27" s="402"/>
      <c r="K27" s="402"/>
      <c r="L27" s="11"/>
    </row>
    <row r="28" spans="1:12" s="12" customFormat="1" ht="18.75" thickTop="1" thickBot="1">
      <c r="A28" s="407" t="s">
        <v>69</v>
      </c>
      <c r="B28" s="408" t="s">
        <v>1</v>
      </c>
      <c r="C28" s="410" t="s">
        <v>11</v>
      </c>
      <c r="D28" s="410" t="s">
        <v>12</v>
      </c>
      <c r="E28" s="410" t="s">
        <v>13</v>
      </c>
      <c r="F28" s="410" t="s">
        <v>14</v>
      </c>
      <c r="G28" s="410" t="s">
        <v>15</v>
      </c>
      <c r="H28" s="410" t="s">
        <v>16</v>
      </c>
      <c r="I28" s="410" t="s">
        <v>17</v>
      </c>
      <c r="J28" s="410" t="s">
        <v>18</v>
      </c>
      <c r="K28" s="1192" t="s">
        <v>166</v>
      </c>
      <c r="L28" s="11"/>
    </row>
    <row r="29" spans="1:12" ht="19.5">
      <c r="A29" s="419" t="s">
        <v>2</v>
      </c>
      <c r="B29" s="942">
        <v>5586</v>
      </c>
      <c r="C29" s="944">
        <v>0</v>
      </c>
      <c r="D29" s="944">
        <v>0</v>
      </c>
      <c r="E29" s="944">
        <v>99</v>
      </c>
      <c r="F29" s="944">
        <v>2992</v>
      </c>
      <c r="G29" s="944">
        <v>2052</v>
      </c>
      <c r="H29" s="944">
        <v>188</v>
      </c>
      <c r="I29" s="944">
        <v>153</v>
      </c>
      <c r="J29" s="944">
        <v>97</v>
      </c>
      <c r="K29" s="945">
        <v>5</v>
      </c>
      <c r="L29" s="8"/>
    </row>
    <row r="30" spans="1:12" s="20" customFormat="1" ht="19.5">
      <c r="A30" s="420" t="s">
        <v>71</v>
      </c>
      <c r="B30" s="946">
        <v>201</v>
      </c>
      <c r="C30" s="948">
        <v>0</v>
      </c>
      <c r="D30" s="948">
        <v>0</v>
      </c>
      <c r="E30" s="948">
        <v>0</v>
      </c>
      <c r="F30" s="948">
        <v>0</v>
      </c>
      <c r="G30" s="948">
        <v>0</v>
      </c>
      <c r="H30" s="948">
        <v>0</v>
      </c>
      <c r="I30" s="948">
        <v>104</v>
      </c>
      <c r="J30" s="948">
        <v>92</v>
      </c>
      <c r="K30" s="949">
        <v>5</v>
      </c>
      <c r="L30" s="19"/>
    </row>
    <row r="31" spans="1:12" s="21" customFormat="1" ht="17.25">
      <c r="A31" s="421" t="s">
        <v>72</v>
      </c>
      <c r="B31" s="950">
        <v>5368</v>
      </c>
      <c r="C31" s="952">
        <v>0</v>
      </c>
      <c r="D31" s="952">
        <v>0</v>
      </c>
      <c r="E31" s="952">
        <v>99</v>
      </c>
      <c r="F31" s="952">
        <v>2992</v>
      </c>
      <c r="G31" s="952">
        <v>2052</v>
      </c>
      <c r="H31" s="952">
        <v>188</v>
      </c>
      <c r="I31" s="952">
        <v>37</v>
      </c>
      <c r="J31" s="952">
        <v>0</v>
      </c>
      <c r="K31" s="953">
        <v>0</v>
      </c>
      <c r="L31" s="16"/>
    </row>
    <row r="32" spans="1:12" s="12" customFormat="1" ht="18" thickBot="1">
      <c r="A32" s="422" t="s">
        <v>73</v>
      </c>
      <c r="B32" s="954">
        <v>17</v>
      </c>
      <c r="C32" s="956">
        <v>0</v>
      </c>
      <c r="D32" s="956">
        <v>0</v>
      </c>
      <c r="E32" s="956">
        <v>0</v>
      </c>
      <c r="F32" s="956">
        <v>0</v>
      </c>
      <c r="G32" s="956">
        <v>0</v>
      </c>
      <c r="H32" s="956">
        <v>0</v>
      </c>
      <c r="I32" s="956">
        <v>12</v>
      </c>
      <c r="J32" s="956">
        <v>5</v>
      </c>
      <c r="K32" s="957">
        <v>0</v>
      </c>
      <c r="L32" s="16"/>
    </row>
    <row r="33" spans="1:12" s="12" customFormat="1" ht="18" thickTop="1">
      <c r="A33" s="402"/>
      <c r="B33" s="402"/>
      <c r="C33" s="402"/>
      <c r="D33" s="402"/>
      <c r="E33" s="402"/>
      <c r="F33" s="402"/>
      <c r="G33" s="402"/>
      <c r="H33" s="402"/>
      <c r="I33" s="402"/>
      <c r="J33" s="402"/>
      <c r="K33" s="402"/>
      <c r="L33" s="16"/>
    </row>
    <row r="34" spans="1:12" s="12" customFormat="1" ht="17.25">
      <c r="A34" s="402"/>
      <c r="B34" s="402"/>
      <c r="C34" s="402"/>
      <c r="D34" s="402"/>
      <c r="E34" s="402"/>
      <c r="F34" s="402"/>
      <c r="G34" s="402"/>
      <c r="H34" s="402"/>
      <c r="I34" s="402"/>
      <c r="J34" s="402"/>
      <c r="K34" s="402"/>
      <c r="L34" s="16"/>
    </row>
    <row r="35" spans="1:12" s="15" customFormat="1" ht="17.25">
      <c r="A35" s="406" t="s">
        <v>77</v>
      </c>
      <c r="B35" s="402"/>
      <c r="C35" s="402"/>
      <c r="D35" s="402"/>
      <c r="E35" s="402"/>
      <c r="F35" s="402"/>
      <c r="G35" s="402"/>
      <c r="H35" s="402"/>
      <c r="I35" s="402"/>
      <c r="J35" s="402"/>
      <c r="K35" s="402"/>
      <c r="L35" s="16"/>
    </row>
    <row r="36" spans="1:12" s="23" customFormat="1" ht="13.5">
      <c r="A36" s="417" t="s">
        <v>78</v>
      </c>
      <c r="B36" s="417"/>
      <c r="C36" s="417"/>
      <c r="D36" s="417"/>
      <c r="E36" s="417"/>
      <c r="F36" s="417"/>
      <c r="G36" s="417"/>
      <c r="H36" s="417"/>
      <c r="I36" s="417"/>
      <c r="J36" s="417"/>
      <c r="K36" s="417"/>
      <c r="L36" s="22"/>
    </row>
    <row r="37" spans="1:12" ht="20.25" thickBot="1">
      <c r="A37" s="402"/>
      <c r="B37" s="402"/>
      <c r="C37" s="402"/>
      <c r="D37" s="402"/>
      <c r="E37" s="402"/>
      <c r="F37" s="402"/>
      <c r="G37" s="402"/>
      <c r="H37" s="402"/>
      <c r="I37" s="402"/>
      <c r="J37" s="402"/>
      <c r="K37" s="402"/>
    </row>
    <row r="38" spans="1:12" ht="28.5" thickTop="1" thickBot="1">
      <c r="A38" s="407" t="s">
        <v>69</v>
      </c>
      <c r="B38" s="408" t="s">
        <v>1</v>
      </c>
      <c r="C38" s="409" t="s">
        <v>19</v>
      </c>
      <c r="D38" s="410" t="s">
        <v>20</v>
      </c>
      <c r="E38" s="410" t="s">
        <v>21</v>
      </c>
      <c r="F38" s="423" t="s">
        <v>173</v>
      </c>
      <c r="G38" s="423" t="s">
        <v>174</v>
      </c>
      <c r="H38" s="423" t="s">
        <v>175</v>
      </c>
      <c r="I38" s="1192" t="s">
        <v>176</v>
      </c>
      <c r="J38" s="1193"/>
      <c r="K38" s="1193"/>
    </row>
    <row r="39" spans="1:12" ht="19.5">
      <c r="A39" s="419" t="s">
        <v>2</v>
      </c>
      <c r="B39" s="942">
        <v>6996</v>
      </c>
      <c r="C39" s="943">
        <v>3313</v>
      </c>
      <c r="D39" s="944">
        <v>114</v>
      </c>
      <c r="E39" s="944">
        <v>452</v>
      </c>
      <c r="F39" s="944">
        <v>0</v>
      </c>
      <c r="G39" s="944">
        <v>3</v>
      </c>
      <c r="H39" s="944">
        <v>3114</v>
      </c>
      <c r="I39" s="1194"/>
      <c r="J39" s="1195"/>
      <c r="K39" s="1195"/>
    </row>
    <row r="40" spans="1:12" ht="19.5">
      <c r="A40" s="420" t="s">
        <v>71</v>
      </c>
      <c r="B40" s="946">
        <v>223</v>
      </c>
      <c r="C40" s="947">
        <v>109</v>
      </c>
      <c r="D40" s="948">
        <v>8</v>
      </c>
      <c r="E40" s="948">
        <v>106</v>
      </c>
      <c r="F40" s="948">
        <v>0</v>
      </c>
      <c r="G40" s="948">
        <v>0</v>
      </c>
      <c r="H40" s="948">
        <v>0</v>
      </c>
      <c r="I40" s="1132" t="s">
        <v>177</v>
      </c>
      <c r="J40" s="1133"/>
      <c r="K40" s="1133"/>
    </row>
    <row r="41" spans="1:12" ht="19.5">
      <c r="A41" s="421" t="s">
        <v>72</v>
      </c>
      <c r="B41" s="950">
        <v>6753</v>
      </c>
      <c r="C41" s="951">
        <v>3199</v>
      </c>
      <c r="D41" s="952">
        <v>104</v>
      </c>
      <c r="E41" s="952">
        <v>339</v>
      </c>
      <c r="F41" s="952">
        <v>0</v>
      </c>
      <c r="G41" s="952">
        <v>3</v>
      </c>
      <c r="H41" s="952">
        <v>3108</v>
      </c>
      <c r="I41" s="1124" t="s">
        <v>178</v>
      </c>
      <c r="J41" s="1125"/>
      <c r="K41" s="1125"/>
    </row>
    <row r="42" spans="1:12" ht="20.25" thickBot="1">
      <c r="A42" s="422" t="s">
        <v>73</v>
      </c>
      <c r="B42" s="954">
        <v>20</v>
      </c>
      <c r="C42" s="955">
        <v>5</v>
      </c>
      <c r="D42" s="956">
        <v>2</v>
      </c>
      <c r="E42" s="956">
        <v>7</v>
      </c>
      <c r="F42" s="956">
        <v>0</v>
      </c>
      <c r="G42" s="956">
        <v>0</v>
      </c>
      <c r="H42" s="956">
        <v>6</v>
      </c>
      <c r="I42" s="1126" t="s">
        <v>179</v>
      </c>
      <c r="J42" s="1127"/>
      <c r="K42" s="1127"/>
    </row>
    <row r="43" spans="1:12" ht="20.25" thickTop="1">
      <c r="A43" s="424" t="s">
        <v>86</v>
      </c>
      <c r="B43" s="425"/>
      <c r="C43" s="425"/>
      <c r="D43" s="425"/>
      <c r="E43" s="425"/>
      <c r="F43" s="425"/>
      <c r="G43" s="425"/>
      <c r="H43" s="425"/>
      <c r="I43" s="425"/>
      <c r="J43" s="425"/>
      <c r="K43" s="425"/>
    </row>
    <row r="44" spans="1:12" ht="19.5"/>
    <row r="45" spans="1:12" ht="19.5"/>
    <row r="46" spans="1:12" ht="19.5"/>
    <row r="47" spans="1:12" ht="19.5"/>
    <row r="48" spans="1:12" ht="19.5"/>
    <row r="49" ht="19.5"/>
    <row r="50" ht="19.5"/>
  </sheetData>
  <mergeCells count="3">
    <mergeCell ref="A2:K2"/>
    <mergeCell ref="I6:K6"/>
    <mergeCell ref="D3:F3"/>
  </mergeCells>
  <phoneticPr fontId="3" type="noConversion"/>
  <printOptions horizontalCentered="1"/>
  <pageMargins left="0.31496062992125984" right="0.31496062992125984" top="0.94488188976377963" bottom="0.51181102362204722" header="0.70866141732283472" footer="0.31496062992125984"/>
  <pageSetup paperSize="9" scale="67" fitToWidth="0" fitToHeight="0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L50"/>
  <sheetViews>
    <sheetView showGridLines="0" zoomScale="85" zoomScaleNormal="85" zoomScaleSheetLayoutView="70" workbookViewId="0">
      <selection activeCell="B8" sqref="B8:B11"/>
    </sheetView>
  </sheetViews>
  <sheetFormatPr defaultColWidth="16.42578125" defaultRowHeight="39.950000000000003" customHeight="1"/>
  <cols>
    <col min="1" max="1" width="15.5703125" style="7" customWidth="1"/>
    <col min="2" max="2" width="14.42578125" style="7" customWidth="1"/>
    <col min="3" max="6" width="10.42578125" style="7" customWidth="1"/>
    <col min="7" max="7" width="12.140625" style="7" customWidth="1"/>
    <col min="8" max="10" width="10.42578125" style="7" customWidth="1"/>
    <col min="11" max="11" width="16.28515625" style="7" customWidth="1"/>
    <col min="12" max="12" width="1.85546875" style="7" customWidth="1"/>
    <col min="13" max="16384" width="16.42578125" style="7"/>
  </cols>
  <sheetData>
    <row r="1" spans="1:12" s="2" customFormat="1" ht="25.5">
      <c r="A1" s="426"/>
      <c r="B1" s="426"/>
      <c r="C1" s="426"/>
      <c r="D1" s="426"/>
      <c r="E1" s="426"/>
      <c r="F1" s="426"/>
      <c r="G1" s="426"/>
      <c r="H1" s="426"/>
      <c r="I1" s="426"/>
      <c r="J1" s="426"/>
      <c r="K1" s="426"/>
      <c r="L1" s="1"/>
    </row>
    <row r="2" spans="1:12" s="2" customFormat="1" ht="26.25">
      <c r="A2" s="1362" t="s">
        <v>67</v>
      </c>
      <c r="B2" s="1362"/>
      <c r="C2" s="1362"/>
      <c r="D2" s="1362"/>
      <c r="E2" s="1362"/>
      <c r="F2" s="1362"/>
      <c r="G2" s="1362"/>
      <c r="H2" s="1362"/>
      <c r="I2" s="1362"/>
      <c r="J2" s="1362"/>
      <c r="K2" s="1362"/>
      <c r="L2" s="1"/>
    </row>
    <row r="3" spans="1:12" s="2" customFormat="1" ht="25.5">
      <c r="A3" s="427"/>
      <c r="B3" s="428"/>
      <c r="C3" s="428"/>
      <c r="D3" s="1364" t="s">
        <v>106</v>
      </c>
      <c r="E3" s="1364"/>
      <c r="F3" s="1364"/>
      <c r="G3" s="428"/>
      <c r="H3" s="428"/>
      <c r="I3" s="428"/>
      <c r="J3" s="428"/>
      <c r="K3" s="428"/>
      <c r="L3" s="1"/>
    </row>
    <row r="4" spans="1:12" s="2" customFormat="1" ht="25.5">
      <c r="A4" s="427"/>
      <c r="B4" s="428"/>
      <c r="C4" s="428"/>
      <c r="D4" s="429"/>
      <c r="E4" s="429"/>
      <c r="F4" s="429"/>
      <c r="G4" s="428"/>
      <c r="H4" s="428"/>
      <c r="I4" s="428"/>
      <c r="J4" s="428"/>
      <c r="K4" s="428"/>
      <c r="L4" s="1"/>
    </row>
    <row r="5" spans="1:12" s="2" customFormat="1" ht="25.5">
      <c r="A5" s="430" t="s">
        <v>87</v>
      </c>
      <c r="B5" s="426"/>
      <c r="C5" s="426"/>
      <c r="D5" s="426"/>
      <c r="E5" s="426"/>
      <c r="F5" s="426"/>
      <c r="G5" s="426"/>
      <c r="H5" s="426"/>
      <c r="I5" s="426"/>
      <c r="J5" s="426"/>
      <c r="K5" s="426"/>
      <c r="L5" s="1"/>
    </row>
    <row r="6" spans="1:12" s="4" customFormat="1" ht="21" thickBot="1">
      <c r="A6" s="426"/>
      <c r="B6" s="426"/>
      <c r="C6" s="426"/>
      <c r="D6" s="426"/>
      <c r="E6" s="426"/>
      <c r="F6" s="426"/>
      <c r="G6" s="426"/>
      <c r="H6" s="426"/>
      <c r="I6" s="1363" t="s">
        <v>190</v>
      </c>
      <c r="J6" s="1363"/>
      <c r="K6" s="1363"/>
      <c r="L6" s="3"/>
    </row>
    <row r="7" spans="1:12" s="5" customFormat="1" ht="21.75" thickTop="1" thickBot="1">
      <c r="A7" s="431" t="s">
        <v>69</v>
      </c>
      <c r="B7" s="432" t="s">
        <v>1</v>
      </c>
      <c r="C7" s="434" t="s">
        <v>11</v>
      </c>
      <c r="D7" s="434" t="s">
        <v>12</v>
      </c>
      <c r="E7" s="434" t="s">
        <v>13</v>
      </c>
      <c r="F7" s="434" t="s">
        <v>14</v>
      </c>
      <c r="G7" s="434" t="s">
        <v>15</v>
      </c>
      <c r="H7" s="434" t="s">
        <v>16</v>
      </c>
      <c r="I7" s="434" t="s">
        <v>17</v>
      </c>
      <c r="J7" s="434" t="s">
        <v>18</v>
      </c>
      <c r="K7" s="435" t="s">
        <v>166</v>
      </c>
      <c r="L7" s="6"/>
    </row>
    <row r="8" spans="1:12" ht="19.5">
      <c r="A8" s="436" t="s">
        <v>2</v>
      </c>
      <c r="B8" s="958">
        <v>2394</v>
      </c>
      <c r="C8" s="959">
        <v>0</v>
      </c>
      <c r="D8" s="959">
        <v>0</v>
      </c>
      <c r="E8" s="959">
        <v>26</v>
      </c>
      <c r="F8" s="959">
        <v>1053</v>
      </c>
      <c r="G8" s="959">
        <v>742</v>
      </c>
      <c r="H8" s="959">
        <v>70</v>
      </c>
      <c r="I8" s="959">
        <v>342</v>
      </c>
      <c r="J8" s="959">
        <v>151</v>
      </c>
      <c r="K8" s="960">
        <v>10</v>
      </c>
      <c r="L8" s="8"/>
    </row>
    <row r="9" spans="1:12" s="10" customFormat="1" ht="17.25">
      <c r="A9" s="437" t="s">
        <v>71</v>
      </c>
      <c r="B9" s="961">
        <v>485</v>
      </c>
      <c r="C9" s="962">
        <v>0</v>
      </c>
      <c r="D9" s="962">
        <v>0</v>
      </c>
      <c r="E9" s="962">
        <v>0</v>
      </c>
      <c r="F9" s="962">
        <v>0</v>
      </c>
      <c r="G9" s="962">
        <v>0</v>
      </c>
      <c r="H9" s="962">
        <v>4</v>
      </c>
      <c r="I9" s="962">
        <v>321</v>
      </c>
      <c r="J9" s="962">
        <v>150</v>
      </c>
      <c r="K9" s="963">
        <v>10</v>
      </c>
      <c r="L9" s="9"/>
    </row>
    <row r="10" spans="1:12" s="12" customFormat="1" ht="17.25">
      <c r="A10" s="438" t="s">
        <v>72</v>
      </c>
      <c r="B10" s="964">
        <v>1902</v>
      </c>
      <c r="C10" s="965">
        <v>0</v>
      </c>
      <c r="D10" s="965">
        <v>0</v>
      </c>
      <c r="E10" s="965">
        <v>26</v>
      </c>
      <c r="F10" s="965">
        <v>1053</v>
      </c>
      <c r="G10" s="965">
        <v>742</v>
      </c>
      <c r="H10" s="965">
        <v>66</v>
      </c>
      <c r="I10" s="965">
        <v>15</v>
      </c>
      <c r="J10" s="965">
        <v>0</v>
      </c>
      <c r="K10" s="966">
        <v>0</v>
      </c>
      <c r="L10" s="11"/>
    </row>
    <row r="11" spans="1:12" s="12" customFormat="1" ht="18" thickBot="1">
      <c r="A11" s="439" t="s">
        <v>73</v>
      </c>
      <c r="B11" s="967">
        <v>7</v>
      </c>
      <c r="C11" s="968">
        <v>0</v>
      </c>
      <c r="D11" s="968">
        <v>0</v>
      </c>
      <c r="E11" s="968">
        <v>0</v>
      </c>
      <c r="F11" s="968">
        <v>0</v>
      </c>
      <c r="G11" s="968">
        <v>0</v>
      </c>
      <c r="H11" s="968">
        <v>0</v>
      </c>
      <c r="I11" s="968">
        <v>6</v>
      </c>
      <c r="J11" s="968">
        <v>1</v>
      </c>
      <c r="K11" s="969">
        <v>0</v>
      </c>
      <c r="L11" s="11"/>
    </row>
    <row r="12" spans="1:12" s="12" customFormat="1" ht="18" thickTop="1">
      <c r="A12" s="440" t="s">
        <v>74</v>
      </c>
      <c r="B12" s="426"/>
      <c r="C12" s="426"/>
      <c r="D12" s="426"/>
      <c r="E12" s="426"/>
      <c r="F12" s="426"/>
      <c r="G12" s="426"/>
      <c r="H12" s="426"/>
      <c r="I12" s="426"/>
      <c r="J12" s="426"/>
      <c r="K12" s="426"/>
      <c r="L12" s="11"/>
    </row>
    <row r="13" spans="1:12" s="12" customFormat="1" ht="17.25">
      <c r="A13" s="426"/>
      <c r="B13" s="426"/>
      <c r="C13" s="426"/>
      <c r="D13" s="426"/>
      <c r="E13" s="426"/>
      <c r="F13" s="426"/>
      <c r="G13" s="426"/>
      <c r="H13" s="426"/>
      <c r="I13" s="426"/>
      <c r="J13" s="426"/>
      <c r="K13" s="426"/>
      <c r="L13" s="11"/>
    </row>
    <row r="14" spans="1:12" s="13" customFormat="1" ht="16.5">
      <c r="A14" s="426"/>
      <c r="B14" s="426"/>
      <c r="C14" s="426"/>
      <c r="D14" s="426"/>
      <c r="E14" s="426"/>
      <c r="F14" s="426"/>
      <c r="G14" s="426"/>
      <c r="H14" s="426"/>
      <c r="I14" s="426"/>
      <c r="J14" s="426"/>
      <c r="K14" s="426"/>
      <c r="L14" s="14"/>
    </row>
    <row r="15" spans="1:12" s="15" customFormat="1" ht="13.5">
      <c r="A15" s="441" t="s">
        <v>88</v>
      </c>
      <c r="B15" s="441"/>
      <c r="C15" s="441"/>
      <c r="D15" s="441"/>
      <c r="E15" s="441"/>
      <c r="F15" s="441"/>
      <c r="G15" s="441"/>
      <c r="H15" s="441"/>
      <c r="I15" s="441"/>
      <c r="J15" s="441"/>
      <c r="K15" s="441"/>
      <c r="L15" s="16"/>
    </row>
    <row r="16" spans="1:12" s="10" customFormat="1" ht="17.25">
      <c r="A16" s="441" t="s">
        <v>75</v>
      </c>
      <c r="B16" s="441"/>
      <c r="C16" s="441"/>
      <c r="D16" s="441"/>
      <c r="E16" s="441"/>
      <c r="F16" s="441"/>
      <c r="G16" s="441"/>
      <c r="H16" s="441"/>
      <c r="I16" s="441"/>
      <c r="J16" s="441"/>
      <c r="K16" s="441"/>
      <c r="L16" s="9"/>
    </row>
    <row r="17" spans="1:12" s="10" customFormat="1" ht="18" thickBot="1">
      <c r="A17" s="442"/>
      <c r="B17" s="426"/>
      <c r="C17" s="426"/>
      <c r="D17" s="426"/>
      <c r="E17" s="426"/>
      <c r="F17" s="426"/>
      <c r="G17" s="426"/>
      <c r="H17" s="426"/>
      <c r="I17" s="426"/>
      <c r="J17" s="426"/>
      <c r="K17" s="426"/>
      <c r="L17" s="9"/>
    </row>
    <row r="18" spans="1:12" s="12" customFormat="1" ht="18.75" thickTop="1" thickBot="1">
      <c r="A18" s="431" t="s">
        <v>69</v>
      </c>
      <c r="B18" s="432" t="s">
        <v>1</v>
      </c>
      <c r="C18" s="434" t="s">
        <v>11</v>
      </c>
      <c r="D18" s="434" t="s">
        <v>12</v>
      </c>
      <c r="E18" s="434" t="s">
        <v>13</v>
      </c>
      <c r="F18" s="434" t="s">
        <v>14</v>
      </c>
      <c r="G18" s="434" t="s">
        <v>15</v>
      </c>
      <c r="H18" s="434" t="s">
        <v>16</v>
      </c>
      <c r="I18" s="434" t="s">
        <v>17</v>
      </c>
      <c r="J18" s="434" t="s">
        <v>18</v>
      </c>
      <c r="K18" s="1196" t="s">
        <v>166</v>
      </c>
      <c r="L18" s="11"/>
    </row>
    <row r="19" spans="1:12" s="12" customFormat="1" ht="17.25">
      <c r="A19" s="443" t="s">
        <v>2</v>
      </c>
      <c r="B19" s="970">
        <v>1331</v>
      </c>
      <c r="C19" s="972">
        <v>0</v>
      </c>
      <c r="D19" s="972">
        <v>0</v>
      </c>
      <c r="E19" s="972">
        <v>9</v>
      </c>
      <c r="F19" s="972">
        <v>563</v>
      </c>
      <c r="G19" s="972">
        <v>375</v>
      </c>
      <c r="H19" s="972">
        <v>38</v>
      </c>
      <c r="I19" s="972">
        <v>228</v>
      </c>
      <c r="J19" s="972">
        <v>110</v>
      </c>
      <c r="K19" s="973">
        <v>8</v>
      </c>
      <c r="L19" s="11"/>
    </row>
    <row r="20" spans="1:12" s="12" customFormat="1" ht="17.25">
      <c r="A20" s="444" t="s">
        <v>71</v>
      </c>
      <c r="B20" s="974">
        <v>336</v>
      </c>
      <c r="C20" s="976">
        <v>0</v>
      </c>
      <c r="D20" s="976">
        <v>0</v>
      </c>
      <c r="E20" s="976">
        <v>0</v>
      </c>
      <c r="F20" s="976">
        <v>0</v>
      </c>
      <c r="G20" s="976">
        <v>0</v>
      </c>
      <c r="H20" s="976">
        <v>2</v>
      </c>
      <c r="I20" s="976">
        <v>217</v>
      </c>
      <c r="J20" s="976">
        <v>109</v>
      </c>
      <c r="K20" s="977">
        <v>8</v>
      </c>
      <c r="L20" s="11"/>
    </row>
    <row r="21" spans="1:12" s="12" customFormat="1" ht="17.25">
      <c r="A21" s="445" t="s">
        <v>72</v>
      </c>
      <c r="B21" s="978">
        <v>991</v>
      </c>
      <c r="C21" s="980">
        <v>0</v>
      </c>
      <c r="D21" s="980">
        <v>0</v>
      </c>
      <c r="E21" s="980">
        <v>9</v>
      </c>
      <c r="F21" s="980">
        <v>563</v>
      </c>
      <c r="G21" s="980">
        <v>375</v>
      </c>
      <c r="H21" s="980">
        <v>36</v>
      </c>
      <c r="I21" s="980">
        <v>8</v>
      </c>
      <c r="J21" s="980">
        <v>0</v>
      </c>
      <c r="K21" s="981">
        <v>0</v>
      </c>
      <c r="L21" s="11"/>
    </row>
    <row r="22" spans="1:12" s="17" customFormat="1" ht="20.25" thickBot="1">
      <c r="A22" s="446" t="s">
        <v>73</v>
      </c>
      <c r="B22" s="982">
        <v>4</v>
      </c>
      <c r="C22" s="984">
        <v>0</v>
      </c>
      <c r="D22" s="984">
        <v>0</v>
      </c>
      <c r="E22" s="984">
        <v>0</v>
      </c>
      <c r="F22" s="984">
        <v>0</v>
      </c>
      <c r="G22" s="984">
        <v>0</v>
      </c>
      <c r="H22" s="984">
        <v>0</v>
      </c>
      <c r="I22" s="984">
        <v>3</v>
      </c>
      <c r="J22" s="984">
        <v>1</v>
      </c>
      <c r="K22" s="985">
        <v>0</v>
      </c>
      <c r="L22" s="8"/>
    </row>
    <row r="23" spans="1:12" s="18" customFormat="1" ht="18" thickTop="1">
      <c r="A23" s="426"/>
      <c r="B23" s="426"/>
      <c r="C23" s="426"/>
      <c r="D23" s="426"/>
      <c r="E23" s="426"/>
      <c r="F23" s="426"/>
      <c r="G23" s="426"/>
      <c r="H23" s="426"/>
      <c r="I23" s="426"/>
      <c r="J23" s="426"/>
      <c r="K23" s="426"/>
      <c r="L23" s="9"/>
    </row>
    <row r="24" spans="1:12" s="10" customFormat="1" ht="17.25">
      <c r="A24" s="426"/>
      <c r="B24" s="426"/>
      <c r="C24" s="426"/>
      <c r="D24" s="426"/>
      <c r="E24" s="426"/>
      <c r="F24" s="426"/>
      <c r="G24" s="426"/>
      <c r="H24" s="426"/>
      <c r="I24" s="426"/>
      <c r="J24" s="426"/>
      <c r="K24" s="426"/>
      <c r="L24" s="9"/>
    </row>
    <row r="25" spans="1:12" s="12" customFormat="1" ht="17.25">
      <c r="A25" s="441" t="s">
        <v>89</v>
      </c>
      <c r="B25" s="441"/>
      <c r="C25" s="441"/>
      <c r="D25" s="441"/>
      <c r="E25" s="441"/>
      <c r="F25" s="441"/>
      <c r="G25" s="441"/>
      <c r="H25" s="441"/>
      <c r="I25" s="441"/>
      <c r="J25" s="441"/>
      <c r="K25" s="441"/>
      <c r="L25" s="11"/>
    </row>
    <row r="26" spans="1:12" s="12" customFormat="1" ht="17.25">
      <c r="A26" s="441" t="s">
        <v>76</v>
      </c>
      <c r="B26" s="441"/>
      <c r="C26" s="441"/>
      <c r="D26" s="441"/>
      <c r="E26" s="441"/>
      <c r="F26" s="441"/>
      <c r="G26" s="441"/>
      <c r="H26" s="441"/>
      <c r="I26" s="441"/>
      <c r="J26" s="441"/>
      <c r="K26" s="441"/>
      <c r="L26" s="11"/>
    </row>
    <row r="27" spans="1:12" s="12" customFormat="1" ht="18" thickBot="1">
      <c r="A27" s="442"/>
      <c r="B27" s="426"/>
      <c r="C27" s="426"/>
      <c r="D27" s="426"/>
      <c r="E27" s="426"/>
      <c r="F27" s="426"/>
      <c r="G27" s="426"/>
      <c r="H27" s="426"/>
      <c r="I27" s="426"/>
      <c r="J27" s="426"/>
      <c r="K27" s="426"/>
      <c r="L27" s="11"/>
    </row>
    <row r="28" spans="1:12" s="12" customFormat="1" ht="18.75" thickTop="1" thickBot="1">
      <c r="A28" s="431" t="s">
        <v>69</v>
      </c>
      <c r="B28" s="432" t="s">
        <v>1</v>
      </c>
      <c r="C28" s="434" t="s">
        <v>11</v>
      </c>
      <c r="D28" s="434" t="s">
        <v>12</v>
      </c>
      <c r="E28" s="434" t="s">
        <v>13</v>
      </c>
      <c r="F28" s="434" t="s">
        <v>14</v>
      </c>
      <c r="G28" s="434" t="s">
        <v>15</v>
      </c>
      <c r="H28" s="434" t="s">
        <v>16</v>
      </c>
      <c r="I28" s="434" t="s">
        <v>17</v>
      </c>
      <c r="J28" s="434" t="s">
        <v>18</v>
      </c>
      <c r="K28" s="1196" t="s">
        <v>166</v>
      </c>
      <c r="L28" s="11"/>
    </row>
    <row r="29" spans="1:12" ht="19.5">
      <c r="A29" s="443" t="s">
        <v>2</v>
      </c>
      <c r="B29" s="970">
        <v>1063</v>
      </c>
      <c r="C29" s="972">
        <v>0</v>
      </c>
      <c r="D29" s="972">
        <v>0</v>
      </c>
      <c r="E29" s="972">
        <v>17</v>
      </c>
      <c r="F29" s="972">
        <v>490</v>
      </c>
      <c r="G29" s="972">
        <v>367</v>
      </c>
      <c r="H29" s="972">
        <v>32</v>
      </c>
      <c r="I29" s="972">
        <v>114</v>
      </c>
      <c r="J29" s="972">
        <v>41</v>
      </c>
      <c r="K29" s="973">
        <v>2</v>
      </c>
      <c r="L29" s="8"/>
    </row>
    <row r="30" spans="1:12" s="20" customFormat="1" ht="19.5">
      <c r="A30" s="444" t="s">
        <v>71</v>
      </c>
      <c r="B30" s="974">
        <v>149</v>
      </c>
      <c r="C30" s="976">
        <v>0</v>
      </c>
      <c r="D30" s="976">
        <v>0</v>
      </c>
      <c r="E30" s="976">
        <v>0</v>
      </c>
      <c r="F30" s="976">
        <v>0</v>
      </c>
      <c r="G30" s="976">
        <v>0</v>
      </c>
      <c r="H30" s="976">
        <v>2</v>
      </c>
      <c r="I30" s="976">
        <v>104</v>
      </c>
      <c r="J30" s="976">
        <v>41</v>
      </c>
      <c r="K30" s="977">
        <v>2</v>
      </c>
      <c r="L30" s="19"/>
    </row>
    <row r="31" spans="1:12" s="21" customFormat="1" ht="17.25">
      <c r="A31" s="445" t="s">
        <v>72</v>
      </c>
      <c r="B31" s="978">
        <v>911</v>
      </c>
      <c r="C31" s="980">
        <v>0</v>
      </c>
      <c r="D31" s="980">
        <v>0</v>
      </c>
      <c r="E31" s="980">
        <v>17</v>
      </c>
      <c r="F31" s="980">
        <v>490</v>
      </c>
      <c r="G31" s="980">
        <v>367</v>
      </c>
      <c r="H31" s="980">
        <v>30</v>
      </c>
      <c r="I31" s="980">
        <v>7</v>
      </c>
      <c r="J31" s="980">
        <v>0</v>
      </c>
      <c r="K31" s="981">
        <v>0</v>
      </c>
      <c r="L31" s="16"/>
    </row>
    <row r="32" spans="1:12" s="12" customFormat="1" ht="18" thickBot="1">
      <c r="A32" s="446" t="s">
        <v>73</v>
      </c>
      <c r="B32" s="982">
        <v>3</v>
      </c>
      <c r="C32" s="984">
        <v>0</v>
      </c>
      <c r="D32" s="984">
        <v>0</v>
      </c>
      <c r="E32" s="984">
        <v>0</v>
      </c>
      <c r="F32" s="984">
        <v>0</v>
      </c>
      <c r="G32" s="984">
        <v>0</v>
      </c>
      <c r="H32" s="984">
        <v>0</v>
      </c>
      <c r="I32" s="984">
        <v>3</v>
      </c>
      <c r="J32" s="984">
        <v>0</v>
      </c>
      <c r="K32" s="985">
        <v>0</v>
      </c>
      <c r="L32" s="16"/>
    </row>
    <row r="33" spans="1:12" s="12" customFormat="1" ht="18" thickTop="1">
      <c r="A33" s="426"/>
      <c r="B33" s="426"/>
      <c r="C33" s="426"/>
      <c r="D33" s="426"/>
      <c r="E33" s="426"/>
      <c r="F33" s="426"/>
      <c r="G33" s="426"/>
      <c r="H33" s="426"/>
      <c r="I33" s="426"/>
      <c r="J33" s="426"/>
      <c r="K33" s="426"/>
      <c r="L33" s="16"/>
    </row>
    <row r="34" spans="1:12" s="12" customFormat="1" ht="17.25">
      <c r="A34" s="426"/>
      <c r="B34" s="426"/>
      <c r="C34" s="426"/>
      <c r="D34" s="426"/>
      <c r="E34" s="426"/>
      <c r="F34" s="426"/>
      <c r="G34" s="426"/>
      <c r="H34" s="426"/>
      <c r="I34" s="426"/>
      <c r="J34" s="426"/>
      <c r="K34" s="426"/>
      <c r="L34" s="16"/>
    </row>
    <row r="35" spans="1:12" s="15" customFormat="1" ht="17.25">
      <c r="A35" s="430" t="s">
        <v>77</v>
      </c>
      <c r="B35" s="426"/>
      <c r="C35" s="426"/>
      <c r="D35" s="426"/>
      <c r="E35" s="426"/>
      <c r="F35" s="426"/>
      <c r="G35" s="426"/>
      <c r="H35" s="426"/>
      <c r="I35" s="426"/>
      <c r="J35" s="426"/>
      <c r="K35" s="426"/>
      <c r="L35" s="16"/>
    </row>
    <row r="36" spans="1:12" s="23" customFormat="1" ht="13.5">
      <c r="A36" s="441" t="s">
        <v>78</v>
      </c>
      <c r="B36" s="441"/>
      <c r="C36" s="441"/>
      <c r="D36" s="441"/>
      <c r="E36" s="441"/>
      <c r="F36" s="441"/>
      <c r="G36" s="441"/>
      <c r="H36" s="441"/>
      <c r="I36" s="441"/>
      <c r="J36" s="441"/>
      <c r="K36" s="441"/>
      <c r="L36" s="22"/>
    </row>
    <row r="37" spans="1:12" ht="20.25" thickBot="1">
      <c r="A37" s="426"/>
      <c r="B37" s="426"/>
      <c r="C37" s="426"/>
      <c r="D37" s="426"/>
      <c r="E37" s="426"/>
      <c r="F37" s="426"/>
      <c r="G37" s="426"/>
      <c r="H37" s="426"/>
      <c r="I37" s="426"/>
      <c r="J37" s="426"/>
      <c r="K37" s="426"/>
    </row>
    <row r="38" spans="1:12" ht="28.5" thickTop="1" thickBot="1">
      <c r="A38" s="431" t="s">
        <v>69</v>
      </c>
      <c r="B38" s="432" t="s">
        <v>1</v>
      </c>
      <c r="C38" s="433" t="s">
        <v>19</v>
      </c>
      <c r="D38" s="434" t="s">
        <v>20</v>
      </c>
      <c r="E38" s="434" t="s">
        <v>21</v>
      </c>
      <c r="F38" s="447" t="s">
        <v>173</v>
      </c>
      <c r="G38" s="447" t="s">
        <v>174</v>
      </c>
      <c r="H38" s="447" t="s">
        <v>175</v>
      </c>
      <c r="I38" s="1196" t="s">
        <v>176</v>
      </c>
      <c r="J38" s="1197"/>
      <c r="K38" s="1197"/>
    </row>
    <row r="39" spans="1:12" ht="19.5">
      <c r="A39" s="443" t="s">
        <v>2</v>
      </c>
      <c r="B39" s="970">
        <v>1308</v>
      </c>
      <c r="C39" s="971">
        <v>617</v>
      </c>
      <c r="D39" s="972">
        <v>18</v>
      </c>
      <c r="E39" s="972">
        <v>172</v>
      </c>
      <c r="F39" s="972">
        <v>0</v>
      </c>
      <c r="G39" s="972">
        <v>0</v>
      </c>
      <c r="H39" s="972">
        <v>501</v>
      </c>
      <c r="I39" s="1198"/>
      <c r="J39" s="1199"/>
      <c r="K39" s="1199"/>
    </row>
    <row r="40" spans="1:12" ht="19.5">
      <c r="A40" s="444" t="s">
        <v>71</v>
      </c>
      <c r="B40" s="974">
        <v>180</v>
      </c>
      <c r="C40" s="975">
        <v>81</v>
      </c>
      <c r="D40" s="976">
        <v>4</v>
      </c>
      <c r="E40" s="976">
        <v>95</v>
      </c>
      <c r="F40" s="976">
        <v>0</v>
      </c>
      <c r="G40" s="976">
        <v>0</v>
      </c>
      <c r="H40" s="976">
        <v>0</v>
      </c>
      <c r="I40" s="1132" t="s">
        <v>177</v>
      </c>
      <c r="J40" s="1133"/>
      <c r="K40" s="1133"/>
    </row>
    <row r="41" spans="1:12" ht="19.5">
      <c r="A41" s="445" t="s">
        <v>72</v>
      </c>
      <c r="B41" s="978">
        <v>1124</v>
      </c>
      <c r="C41" s="979">
        <v>534</v>
      </c>
      <c r="D41" s="980">
        <v>14</v>
      </c>
      <c r="E41" s="980">
        <v>76</v>
      </c>
      <c r="F41" s="980">
        <v>0</v>
      </c>
      <c r="G41" s="980">
        <v>0</v>
      </c>
      <c r="H41" s="980">
        <v>500</v>
      </c>
      <c r="I41" s="1124" t="s">
        <v>178</v>
      </c>
      <c r="J41" s="1125"/>
      <c r="K41" s="1125"/>
    </row>
    <row r="42" spans="1:12" ht="20.25" thickBot="1">
      <c r="A42" s="446" t="s">
        <v>73</v>
      </c>
      <c r="B42" s="982">
        <v>4</v>
      </c>
      <c r="C42" s="983">
        <v>2</v>
      </c>
      <c r="D42" s="984">
        <v>0</v>
      </c>
      <c r="E42" s="984">
        <v>1</v>
      </c>
      <c r="F42" s="984">
        <v>0</v>
      </c>
      <c r="G42" s="984">
        <v>0</v>
      </c>
      <c r="H42" s="984">
        <v>1</v>
      </c>
      <c r="I42" s="1126" t="s">
        <v>179</v>
      </c>
      <c r="J42" s="1127"/>
      <c r="K42" s="1127"/>
    </row>
    <row r="43" spans="1:12" ht="20.25" thickTop="1">
      <c r="A43" s="448" t="s">
        <v>86</v>
      </c>
      <c r="B43" s="449"/>
      <c r="C43" s="449"/>
      <c r="D43" s="449"/>
      <c r="E43" s="449"/>
      <c r="F43" s="449"/>
      <c r="G43" s="449"/>
      <c r="H43" s="449"/>
      <c r="I43" s="449"/>
      <c r="J43" s="449"/>
      <c r="K43" s="449"/>
    </row>
    <row r="44" spans="1:12" ht="19.5"/>
    <row r="45" spans="1:12" ht="19.5"/>
    <row r="46" spans="1:12" ht="19.5"/>
    <row r="47" spans="1:12" ht="19.5"/>
    <row r="48" spans="1:12" ht="19.5"/>
    <row r="49" ht="19.5"/>
    <row r="50" ht="19.5"/>
  </sheetData>
  <mergeCells count="3">
    <mergeCell ref="A2:K2"/>
    <mergeCell ref="I6:K6"/>
    <mergeCell ref="D3:F3"/>
  </mergeCells>
  <phoneticPr fontId="3" type="noConversion"/>
  <printOptions horizontalCentered="1"/>
  <pageMargins left="0.31496062992125984" right="0.31496062992125984" top="0.94488188976377963" bottom="0.51181102362204722" header="0.70866141732283472" footer="0.31496062992125984"/>
  <pageSetup paperSize="9" scale="67" fitToWidth="0" fitToHeight="0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L50"/>
  <sheetViews>
    <sheetView showGridLines="0" zoomScale="85" zoomScaleNormal="85" zoomScaleSheetLayoutView="70" workbookViewId="0">
      <selection activeCell="B8" sqref="B8:B11"/>
    </sheetView>
  </sheetViews>
  <sheetFormatPr defaultColWidth="16.42578125" defaultRowHeight="39.950000000000003" customHeight="1"/>
  <cols>
    <col min="1" max="1" width="15.5703125" style="7" customWidth="1"/>
    <col min="2" max="2" width="14.42578125" style="7" customWidth="1"/>
    <col min="3" max="6" width="10.42578125" style="7" customWidth="1"/>
    <col min="7" max="7" width="12.140625" style="7" customWidth="1"/>
    <col min="8" max="10" width="10.42578125" style="7" customWidth="1"/>
    <col min="11" max="11" width="16" style="7" customWidth="1"/>
    <col min="12" max="12" width="1.85546875" style="7" customWidth="1"/>
    <col min="13" max="16384" width="16.42578125" style="7"/>
  </cols>
  <sheetData>
    <row r="1" spans="1:12" s="2" customFormat="1" ht="25.5">
      <c r="A1" s="450"/>
      <c r="B1" s="450"/>
      <c r="C1" s="450"/>
      <c r="D1" s="450"/>
      <c r="E1" s="450"/>
      <c r="F1" s="450"/>
      <c r="G1" s="450"/>
      <c r="H1" s="450"/>
      <c r="I1" s="450"/>
      <c r="J1" s="450"/>
      <c r="K1" s="450"/>
      <c r="L1" s="1"/>
    </row>
    <row r="2" spans="1:12" s="2" customFormat="1" ht="26.25">
      <c r="A2" s="1365" t="s">
        <v>67</v>
      </c>
      <c r="B2" s="1365"/>
      <c r="C2" s="1365"/>
      <c r="D2" s="1365"/>
      <c r="E2" s="1365"/>
      <c r="F2" s="1365"/>
      <c r="G2" s="1365"/>
      <c r="H2" s="1365"/>
      <c r="I2" s="1365"/>
      <c r="J2" s="1365"/>
      <c r="K2" s="1365"/>
      <c r="L2" s="1"/>
    </row>
    <row r="3" spans="1:12" s="2" customFormat="1" ht="25.5">
      <c r="A3" s="451"/>
      <c r="B3" s="452"/>
      <c r="C3" s="452"/>
      <c r="D3" s="1367" t="s">
        <v>107</v>
      </c>
      <c r="E3" s="1367"/>
      <c r="F3" s="1367"/>
      <c r="G3" s="452"/>
      <c r="H3" s="452"/>
      <c r="I3" s="452"/>
      <c r="J3" s="452"/>
      <c r="K3" s="452"/>
      <c r="L3" s="1"/>
    </row>
    <row r="4" spans="1:12" s="2" customFormat="1" ht="25.5">
      <c r="A4" s="451"/>
      <c r="B4" s="452"/>
      <c r="C4" s="452"/>
      <c r="D4" s="453"/>
      <c r="E4" s="453"/>
      <c r="F4" s="453"/>
      <c r="G4" s="452"/>
      <c r="H4" s="452"/>
      <c r="I4" s="452"/>
      <c r="J4" s="452"/>
      <c r="K4" s="452"/>
      <c r="L4" s="1"/>
    </row>
    <row r="5" spans="1:12" s="2" customFormat="1" ht="25.5">
      <c r="A5" s="454" t="s">
        <v>87</v>
      </c>
      <c r="B5" s="450"/>
      <c r="C5" s="450"/>
      <c r="D5" s="450"/>
      <c r="E5" s="450"/>
      <c r="F5" s="450"/>
      <c r="G5" s="450"/>
      <c r="H5" s="450"/>
      <c r="I5" s="450"/>
      <c r="J5" s="450"/>
      <c r="K5" s="450"/>
      <c r="L5" s="1"/>
    </row>
    <row r="6" spans="1:12" s="4" customFormat="1" ht="21" thickBot="1">
      <c r="A6" s="450"/>
      <c r="B6" s="450"/>
      <c r="C6" s="450"/>
      <c r="D6" s="450"/>
      <c r="E6" s="450"/>
      <c r="F6" s="450"/>
      <c r="G6" s="450"/>
      <c r="H6" s="450"/>
      <c r="I6" s="1366" t="s">
        <v>195</v>
      </c>
      <c r="J6" s="1366"/>
      <c r="K6" s="1366"/>
      <c r="L6" s="3"/>
    </row>
    <row r="7" spans="1:12" s="5" customFormat="1" ht="21.75" thickTop="1" thickBot="1">
      <c r="A7" s="455" t="s">
        <v>69</v>
      </c>
      <c r="B7" s="456" t="s">
        <v>1</v>
      </c>
      <c r="C7" s="458" t="s">
        <v>11</v>
      </c>
      <c r="D7" s="458" t="s">
        <v>12</v>
      </c>
      <c r="E7" s="458" t="s">
        <v>13</v>
      </c>
      <c r="F7" s="458" t="s">
        <v>14</v>
      </c>
      <c r="G7" s="458" t="s">
        <v>15</v>
      </c>
      <c r="H7" s="458" t="s">
        <v>16</v>
      </c>
      <c r="I7" s="458" t="s">
        <v>17</v>
      </c>
      <c r="J7" s="458" t="s">
        <v>18</v>
      </c>
      <c r="K7" s="459" t="s">
        <v>166</v>
      </c>
      <c r="L7" s="6"/>
    </row>
    <row r="8" spans="1:12" ht="19.5">
      <c r="A8" s="460" t="s">
        <v>2</v>
      </c>
      <c r="B8" s="986">
        <v>1736</v>
      </c>
      <c r="C8" s="987">
        <v>0</v>
      </c>
      <c r="D8" s="987">
        <v>0</v>
      </c>
      <c r="E8" s="987">
        <v>8</v>
      </c>
      <c r="F8" s="987">
        <v>582</v>
      </c>
      <c r="G8" s="987">
        <v>472</v>
      </c>
      <c r="H8" s="987">
        <v>90</v>
      </c>
      <c r="I8" s="987">
        <v>289</v>
      </c>
      <c r="J8" s="987">
        <v>232</v>
      </c>
      <c r="K8" s="988">
        <v>63</v>
      </c>
      <c r="L8" s="8"/>
    </row>
    <row r="9" spans="1:12" s="10" customFormat="1" ht="17.25">
      <c r="A9" s="461" t="s">
        <v>71</v>
      </c>
      <c r="B9" s="989">
        <v>547</v>
      </c>
      <c r="C9" s="990">
        <v>0</v>
      </c>
      <c r="D9" s="990">
        <v>0</v>
      </c>
      <c r="E9" s="990">
        <v>0</v>
      </c>
      <c r="F9" s="990">
        <v>0</v>
      </c>
      <c r="G9" s="990">
        <v>0</v>
      </c>
      <c r="H9" s="990">
        <v>7</v>
      </c>
      <c r="I9" s="990">
        <v>257</v>
      </c>
      <c r="J9" s="990">
        <v>220</v>
      </c>
      <c r="K9" s="991">
        <v>63</v>
      </c>
      <c r="L9" s="9"/>
    </row>
    <row r="10" spans="1:12" s="12" customFormat="1" ht="17.25">
      <c r="A10" s="462" t="s">
        <v>72</v>
      </c>
      <c r="B10" s="992">
        <v>1166</v>
      </c>
      <c r="C10" s="993">
        <v>0</v>
      </c>
      <c r="D10" s="993">
        <v>0</v>
      </c>
      <c r="E10" s="993">
        <v>8</v>
      </c>
      <c r="F10" s="993">
        <v>582</v>
      </c>
      <c r="G10" s="993">
        <v>472</v>
      </c>
      <c r="H10" s="993">
        <v>81</v>
      </c>
      <c r="I10" s="993">
        <v>22</v>
      </c>
      <c r="J10" s="993">
        <v>1</v>
      </c>
      <c r="K10" s="994">
        <v>0</v>
      </c>
      <c r="L10" s="11"/>
    </row>
    <row r="11" spans="1:12" s="12" customFormat="1" ht="18" thickBot="1">
      <c r="A11" s="463" t="s">
        <v>73</v>
      </c>
      <c r="B11" s="995">
        <v>23</v>
      </c>
      <c r="C11" s="996">
        <v>0</v>
      </c>
      <c r="D11" s="996">
        <v>0</v>
      </c>
      <c r="E11" s="996">
        <v>0</v>
      </c>
      <c r="F11" s="996">
        <v>0</v>
      </c>
      <c r="G11" s="996">
        <v>0</v>
      </c>
      <c r="H11" s="996">
        <v>2</v>
      </c>
      <c r="I11" s="996">
        <v>10</v>
      </c>
      <c r="J11" s="996">
        <v>11</v>
      </c>
      <c r="K11" s="997">
        <v>0</v>
      </c>
      <c r="L11" s="11"/>
    </row>
    <row r="12" spans="1:12" s="12" customFormat="1" ht="18" thickTop="1">
      <c r="A12" s="464" t="s">
        <v>74</v>
      </c>
      <c r="B12" s="450"/>
      <c r="C12" s="450"/>
      <c r="D12" s="450"/>
      <c r="E12" s="450"/>
      <c r="F12" s="450"/>
      <c r="G12" s="450"/>
      <c r="H12" s="450"/>
      <c r="I12" s="450"/>
      <c r="J12" s="450"/>
      <c r="K12" s="450"/>
      <c r="L12" s="11"/>
    </row>
    <row r="13" spans="1:12" s="12" customFormat="1" ht="17.25">
      <c r="A13" s="450"/>
      <c r="B13" s="450"/>
      <c r="C13" s="450"/>
      <c r="D13" s="450"/>
      <c r="E13" s="450"/>
      <c r="F13" s="450"/>
      <c r="G13" s="450"/>
      <c r="H13" s="450"/>
      <c r="I13" s="450"/>
      <c r="J13" s="450"/>
      <c r="K13" s="450"/>
      <c r="L13" s="11"/>
    </row>
    <row r="14" spans="1:12" s="13" customFormat="1" ht="16.5">
      <c r="A14" s="450"/>
      <c r="B14" s="450"/>
      <c r="C14" s="450"/>
      <c r="D14" s="450"/>
      <c r="E14" s="450"/>
      <c r="F14" s="450"/>
      <c r="G14" s="450"/>
      <c r="H14" s="450"/>
      <c r="I14" s="450"/>
      <c r="J14" s="450"/>
      <c r="K14" s="450"/>
      <c r="L14" s="14"/>
    </row>
    <row r="15" spans="1:12" s="15" customFormat="1" ht="13.5">
      <c r="A15" s="465" t="s">
        <v>88</v>
      </c>
      <c r="B15" s="465"/>
      <c r="C15" s="465"/>
      <c r="D15" s="465"/>
      <c r="E15" s="465"/>
      <c r="F15" s="465"/>
      <c r="G15" s="465"/>
      <c r="H15" s="465"/>
      <c r="I15" s="465"/>
      <c r="J15" s="465"/>
      <c r="K15" s="465"/>
      <c r="L15" s="16"/>
    </row>
    <row r="16" spans="1:12" s="10" customFormat="1" ht="17.25">
      <c r="A16" s="465" t="s">
        <v>75</v>
      </c>
      <c r="B16" s="465"/>
      <c r="C16" s="465"/>
      <c r="D16" s="465"/>
      <c r="E16" s="465"/>
      <c r="F16" s="465"/>
      <c r="G16" s="465"/>
      <c r="H16" s="465"/>
      <c r="I16" s="465"/>
      <c r="J16" s="465"/>
      <c r="K16" s="465"/>
      <c r="L16" s="9"/>
    </row>
    <row r="17" spans="1:12" s="10" customFormat="1" ht="18" thickBot="1">
      <c r="A17" s="466"/>
      <c r="B17" s="450"/>
      <c r="C17" s="450"/>
      <c r="D17" s="450"/>
      <c r="E17" s="450"/>
      <c r="F17" s="450"/>
      <c r="G17" s="450"/>
      <c r="H17" s="450"/>
      <c r="I17" s="450"/>
      <c r="J17" s="450"/>
      <c r="K17" s="450"/>
      <c r="L17" s="9"/>
    </row>
    <row r="18" spans="1:12" s="12" customFormat="1" ht="18.75" thickTop="1" thickBot="1">
      <c r="A18" s="455" t="s">
        <v>69</v>
      </c>
      <c r="B18" s="456" t="s">
        <v>1</v>
      </c>
      <c r="C18" s="458" t="s">
        <v>11</v>
      </c>
      <c r="D18" s="458" t="s">
        <v>12</v>
      </c>
      <c r="E18" s="458" t="s">
        <v>13</v>
      </c>
      <c r="F18" s="458" t="s">
        <v>14</v>
      </c>
      <c r="G18" s="458" t="s">
        <v>15</v>
      </c>
      <c r="H18" s="458" t="s">
        <v>16</v>
      </c>
      <c r="I18" s="458" t="s">
        <v>17</v>
      </c>
      <c r="J18" s="458" t="s">
        <v>18</v>
      </c>
      <c r="K18" s="1200" t="s">
        <v>166</v>
      </c>
      <c r="L18" s="11"/>
    </row>
    <row r="19" spans="1:12" s="12" customFormat="1" ht="17.25">
      <c r="A19" s="467" t="s">
        <v>2</v>
      </c>
      <c r="B19" s="998">
        <v>1484</v>
      </c>
      <c r="C19" s="1000">
        <v>0</v>
      </c>
      <c r="D19" s="1000">
        <v>0</v>
      </c>
      <c r="E19" s="1000">
        <v>7</v>
      </c>
      <c r="F19" s="1000">
        <v>514</v>
      </c>
      <c r="G19" s="1000">
        <v>408</v>
      </c>
      <c r="H19" s="1000">
        <v>75</v>
      </c>
      <c r="I19" s="1000">
        <v>242</v>
      </c>
      <c r="J19" s="1000">
        <v>183</v>
      </c>
      <c r="K19" s="1001">
        <v>55</v>
      </c>
      <c r="L19" s="11"/>
    </row>
    <row r="20" spans="1:12" s="12" customFormat="1" ht="17.25">
      <c r="A20" s="468" t="s">
        <v>71</v>
      </c>
      <c r="B20" s="1002">
        <v>461</v>
      </c>
      <c r="C20" s="1004">
        <v>0</v>
      </c>
      <c r="D20" s="1004">
        <v>0</v>
      </c>
      <c r="E20" s="1004">
        <v>0</v>
      </c>
      <c r="F20" s="1004">
        <v>0</v>
      </c>
      <c r="G20" s="1004">
        <v>0</v>
      </c>
      <c r="H20" s="1004">
        <v>7</v>
      </c>
      <c r="I20" s="1004">
        <v>221</v>
      </c>
      <c r="J20" s="1004">
        <v>178</v>
      </c>
      <c r="K20" s="1005">
        <v>55</v>
      </c>
      <c r="L20" s="11"/>
    </row>
    <row r="21" spans="1:12" s="12" customFormat="1" ht="17.25">
      <c r="A21" s="469" t="s">
        <v>72</v>
      </c>
      <c r="B21" s="1006">
        <v>1012</v>
      </c>
      <c r="C21" s="1008">
        <v>0</v>
      </c>
      <c r="D21" s="1008">
        <v>0</v>
      </c>
      <c r="E21" s="1008">
        <v>7</v>
      </c>
      <c r="F21" s="1008">
        <v>514</v>
      </c>
      <c r="G21" s="1008">
        <v>408</v>
      </c>
      <c r="H21" s="1008">
        <v>67</v>
      </c>
      <c r="I21" s="1008">
        <v>16</v>
      </c>
      <c r="J21" s="1008">
        <v>0</v>
      </c>
      <c r="K21" s="1009">
        <v>0</v>
      </c>
      <c r="L21" s="11"/>
    </row>
    <row r="22" spans="1:12" s="17" customFormat="1" ht="20.25" thickBot="1">
      <c r="A22" s="470" t="s">
        <v>73</v>
      </c>
      <c r="B22" s="1010">
        <v>11</v>
      </c>
      <c r="C22" s="1012">
        <v>0</v>
      </c>
      <c r="D22" s="1012">
        <v>0</v>
      </c>
      <c r="E22" s="1012">
        <v>0</v>
      </c>
      <c r="F22" s="1012">
        <v>0</v>
      </c>
      <c r="G22" s="1012">
        <v>0</v>
      </c>
      <c r="H22" s="1012">
        <v>1</v>
      </c>
      <c r="I22" s="1012">
        <v>5</v>
      </c>
      <c r="J22" s="1012">
        <v>5</v>
      </c>
      <c r="K22" s="1013">
        <v>0</v>
      </c>
      <c r="L22" s="8"/>
    </row>
    <row r="23" spans="1:12" s="18" customFormat="1" ht="18" thickTop="1">
      <c r="A23" s="450"/>
      <c r="B23" s="450"/>
      <c r="C23" s="450"/>
      <c r="D23" s="450"/>
      <c r="E23" s="450"/>
      <c r="F23" s="450"/>
      <c r="G23" s="450"/>
      <c r="H23" s="450"/>
      <c r="I23" s="450"/>
      <c r="J23" s="450"/>
      <c r="K23" s="450"/>
      <c r="L23" s="9"/>
    </row>
    <row r="24" spans="1:12" s="10" customFormat="1" ht="17.25">
      <c r="A24" s="450"/>
      <c r="B24" s="450"/>
      <c r="C24" s="450"/>
      <c r="D24" s="450"/>
      <c r="E24" s="450"/>
      <c r="F24" s="450"/>
      <c r="G24" s="450"/>
      <c r="H24" s="450"/>
      <c r="I24" s="450"/>
      <c r="J24" s="450"/>
      <c r="K24" s="450"/>
      <c r="L24" s="9"/>
    </row>
    <row r="25" spans="1:12" s="12" customFormat="1" ht="17.25">
      <c r="A25" s="465" t="s">
        <v>89</v>
      </c>
      <c r="B25" s="465"/>
      <c r="C25" s="465"/>
      <c r="D25" s="465"/>
      <c r="E25" s="465"/>
      <c r="F25" s="465"/>
      <c r="G25" s="465"/>
      <c r="H25" s="465"/>
      <c r="I25" s="465"/>
      <c r="J25" s="465"/>
      <c r="K25" s="465"/>
      <c r="L25" s="11"/>
    </row>
    <row r="26" spans="1:12" s="12" customFormat="1" ht="17.25">
      <c r="A26" s="465" t="s">
        <v>76</v>
      </c>
      <c r="B26" s="465"/>
      <c r="C26" s="465"/>
      <c r="D26" s="465"/>
      <c r="E26" s="465"/>
      <c r="F26" s="465"/>
      <c r="G26" s="465"/>
      <c r="H26" s="465"/>
      <c r="I26" s="465"/>
      <c r="J26" s="465"/>
      <c r="K26" s="465"/>
      <c r="L26" s="11"/>
    </row>
    <row r="27" spans="1:12" s="12" customFormat="1" ht="18" thickBot="1">
      <c r="A27" s="466"/>
      <c r="B27" s="450"/>
      <c r="C27" s="450"/>
      <c r="D27" s="450"/>
      <c r="E27" s="450"/>
      <c r="F27" s="450"/>
      <c r="G27" s="450"/>
      <c r="H27" s="450"/>
      <c r="I27" s="450"/>
      <c r="J27" s="450"/>
      <c r="K27" s="450"/>
      <c r="L27" s="11"/>
    </row>
    <row r="28" spans="1:12" s="12" customFormat="1" ht="18.75" thickTop="1" thickBot="1">
      <c r="A28" s="455" t="s">
        <v>69</v>
      </c>
      <c r="B28" s="456" t="s">
        <v>1</v>
      </c>
      <c r="C28" s="458" t="s">
        <v>11</v>
      </c>
      <c r="D28" s="458" t="s">
        <v>12</v>
      </c>
      <c r="E28" s="458" t="s">
        <v>13</v>
      </c>
      <c r="F28" s="458" t="s">
        <v>14</v>
      </c>
      <c r="G28" s="458" t="s">
        <v>15</v>
      </c>
      <c r="H28" s="458" t="s">
        <v>16</v>
      </c>
      <c r="I28" s="458" t="s">
        <v>17</v>
      </c>
      <c r="J28" s="458" t="s">
        <v>18</v>
      </c>
      <c r="K28" s="1200" t="s">
        <v>166</v>
      </c>
      <c r="L28" s="11"/>
    </row>
    <row r="29" spans="1:12" ht="19.5">
      <c r="A29" s="467" t="s">
        <v>2</v>
      </c>
      <c r="B29" s="998">
        <v>252</v>
      </c>
      <c r="C29" s="1000">
        <v>0</v>
      </c>
      <c r="D29" s="1000">
        <v>0</v>
      </c>
      <c r="E29" s="1000">
        <v>1</v>
      </c>
      <c r="F29" s="1000">
        <v>68</v>
      </c>
      <c r="G29" s="1000">
        <v>64</v>
      </c>
      <c r="H29" s="1000">
        <v>15</v>
      </c>
      <c r="I29" s="1000">
        <v>47</v>
      </c>
      <c r="J29" s="1000">
        <v>49</v>
      </c>
      <c r="K29" s="1001">
        <v>8</v>
      </c>
      <c r="L29" s="8"/>
    </row>
    <row r="30" spans="1:12" s="20" customFormat="1" ht="19.5">
      <c r="A30" s="468" t="s">
        <v>71</v>
      </c>
      <c r="B30" s="1002">
        <v>86</v>
      </c>
      <c r="C30" s="1004">
        <v>0</v>
      </c>
      <c r="D30" s="1004">
        <v>0</v>
      </c>
      <c r="E30" s="1004">
        <v>0</v>
      </c>
      <c r="F30" s="1004">
        <v>0</v>
      </c>
      <c r="G30" s="1004">
        <v>0</v>
      </c>
      <c r="H30" s="1004">
        <v>0</v>
      </c>
      <c r="I30" s="1004">
        <v>36</v>
      </c>
      <c r="J30" s="1004">
        <v>42</v>
      </c>
      <c r="K30" s="1005">
        <v>8</v>
      </c>
      <c r="L30" s="19"/>
    </row>
    <row r="31" spans="1:12" s="21" customFormat="1" ht="17.25">
      <c r="A31" s="469" t="s">
        <v>72</v>
      </c>
      <c r="B31" s="1006">
        <v>154</v>
      </c>
      <c r="C31" s="1008">
        <v>0</v>
      </c>
      <c r="D31" s="1008">
        <v>0</v>
      </c>
      <c r="E31" s="1008">
        <v>1</v>
      </c>
      <c r="F31" s="1008">
        <v>68</v>
      </c>
      <c r="G31" s="1008">
        <v>64</v>
      </c>
      <c r="H31" s="1008">
        <v>14</v>
      </c>
      <c r="I31" s="1008">
        <v>6</v>
      </c>
      <c r="J31" s="1008">
        <v>1</v>
      </c>
      <c r="K31" s="1009">
        <v>0</v>
      </c>
      <c r="L31" s="16"/>
    </row>
    <row r="32" spans="1:12" s="12" customFormat="1" ht="18" thickBot="1">
      <c r="A32" s="470" t="s">
        <v>73</v>
      </c>
      <c r="B32" s="1010">
        <v>12</v>
      </c>
      <c r="C32" s="1012">
        <v>0</v>
      </c>
      <c r="D32" s="1012">
        <v>0</v>
      </c>
      <c r="E32" s="1012">
        <v>0</v>
      </c>
      <c r="F32" s="1012">
        <v>0</v>
      </c>
      <c r="G32" s="1012">
        <v>0</v>
      </c>
      <c r="H32" s="1012">
        <v>1</v>
      </c>
      <c r="I32" s="1012">
        <v>5</v>
      </c>
      <c r="J32" s="1012">
        <v>6</v>
      </c>
      <c r="K32" s="1013">
        <v>0</v>
      </c>
      <c r="L32" s="16"/>
    </row>
    <row r="33" spans="1:12" s="12" customFormat="1" ht="18" thickTop="1">
      <c r="A33" s="450"/>
      <c r="B33" s="450"/>
      <c r="C33" s="450"/>
      <c r="D33" s="450"/>
      <c r="E33" s="450"/>
      <c r="F33" s="450"/>
      <c r="G33" s="450"/>
      <c r="H33" s="450"/>
      <c r="I33" s="450"/>
      <c r="J33" s="450"/>
      <c r="K33" s="450"/>
      <c r="L33" s="16"/>
    </row>
    <row r="34" spans="1:12" s="12" customFormat="1" ht="17.25">
      <c r="A34" s="450"/>
      <c r="B34" s="450"/>
      <c r="C34" s="450"/>
      <c r="D34" s="450"/>
      <c r="E34" s="450"/>
      <c r="F34" s="450"/>
      <c r="G34" s="450"/>
      <c r="H34" s="450"/>
      <c r="I34" s="450"/>
      <c r="J34" s="450"/>
      <c r="K34" s="450"/>
      <c r="L34" s="16"/>
    </row>
    <row r="35" spans="1:12" s="15" customFormat="1" ht="17.25">
      <c r="A35" s="454" t="s">
        <v>77</v>
      </c>
      <c r="B35" s="450"/>
      <c r="C35" s="450"/>
      <c r="D35" s="450"/>
      <c r="E35" s="450"/>
      <c r="F35" s="450"/>
      <c r="G35" s="450"/>
      <c r="H35" s="450"/>
      <c r="I35" s="450"/>
      <c r="J35" s="450"/>
      <c r="K35" s="450"/>
      <c r="L35" s="16"/>
    </row>
    <row r="36" spans="1:12" s="23" customFormat="1" ht="13.5">
      <c r="A36" s="465" t="s">
        <v>78</v>
      </c>
      <c r="B36" s="465"/>
      <c r="C36" s="465"/>
      <c r="D36" s="465"/>
      <c r="E36" s="465"/>
      <c r="F36" s="465"/>
      <c r="G36" s="465"/>
      <c r="H36" s="465"/>
      <c r="I36" s="465"/>
      <c r="J36" s="465"/>
      <c r="K36" s="465"/>
      <c r="L36" s="22"/>
    </row>
    <row r="37" spans="1:12" ht="20.25" thickBot="1">
      <c r="A37" s="450"/>
      <c r="B37" s="450"/>
      <c r="C37" s="450"/>
      <c r="D37" s="450"/>
      <c r="E37" s="450"/>
      <c r="F37" s="450"/>
      <c r="G37" s="450"/>
      <c r="H37" s="450"/>
      <c r="I37" s="450"/>
      <c r="J37" s="450"/>
      <c r="K37" s="450"/>
    </row>
    <row r="38" spans="1:12" ht="28.5" thickTop="1" thickBot="1">
      <c r="A38" s="455" t="s">
        <v>69</v>
      </c>
      <c r="B38" s="456" t="s">
        <v>1</v>
      </c>
      <c r="C38" s="457" t="s">
        <v>19</v>
      </c>
      <c r="D38" s="458" t="s">
        <v>20</v>
      </c>
      <c r="E38" s="458" t="s">
        <v>21</v>
      </c>
      <c r="F38" s="471" t="s">
        <v>173</v>
      </c>
      <c r="G38" s="471" t="s">
        <v>174</v>
      </c>
      <c r="H38" s="471" t="s">
        <v>175</v>
      </c>
      <c r="I38" s="1200" t="s">
        <v>176</v>
      </c>
      <c r="J38" s="1201"/>
      <c r="K38" s="1201"/>
    </row>
    <row r="39" spans="1:12" ht="19.5">
      <c r="A39" s="467" t="s">
        <v>2</v>
      </c>
      <c r="B39" s="998">
        <v>282</v>
      </c>
      <c r="C39" s="999">
        <v>109</v>
      </c>
      <c r="D39" s="1000">
        <v>3</v>
      </c>
      <c r="E39" s="1000">
        <v>107</v>
      </c>
      <c r="F39" s="1000">
        <v>3</v>
      </c>
      <c r="G39" s="1000">
        <v>0</v>
      </c>
      <c r="H39" s="1000">
        <v>60</v>
      </c>
      <c r="I39" s="1202"/>
      <c r="J39" s="1203"/>
      <c r="K39" s="1203"/>
    </row>
    <row r="40" spans="1:12" ht="19.5">
      <c r="A40" s="468" t="s">
        <v>71</v>
      </c>
      <c r="B40" s="1002">
        <v>89</v>
      </c>
      <c r="C40" s="1003">
        <v>14</v>
      </c>
      <c r="D40" s="1004">
        <v>1</v>
      </c>
      <c r="E40" s="1004">
        <v>70</v>
      </c>
      <c r="F40" s="1004">
        <v>3</v>
      </c>
      <c r="G40" s="1004">
        <v>0</v>
      </c>
      <c r="H40" s="1004">
        <v>1</v>
      </c>
      <c r="I40" s="1132" t="s">
        <v>177</v>
      </c>
      <c r="J40" s="1133"/>
      <c r="K40" s="1133"/>
    </row>
    <row r="41" spans="1:12" ht="19.5">
      <c r="A41" s="469" t="s">
        <v>72</v>
      </c>
      <c r="B41" s="1006">
        <v>180</v>
      </c>
      <c r="C41" s="1007">
        <v>92</v>
      </c>
      <c r="D41" s="1008">
        <v>1</v>
      </c>
      <c r="E41" s="1008">
        <v>29</v>
      </c>
      <c r="F41" s="1008">
        <v>0</v>
      </c>
      <c r="G41" s="1008">
        <v>0</v>
      </c>
      <c r="H41" s="1008">
        <v>58</v>
      </c>
      <c r="I41" s="1124" t="s">
        <v>178</v>
      </c>
      <c r="J41" s="1125"/>
      <c r="K41" s="1125"/>
    </row>
    <row r="42" spans="1:12" ht="20.25" thickBot="1">
      <c r="A42" s="470" t="s">
        <v>73</v>
      </c>
      <c r="B42" s="1010">
        <v>13</v>
      </c>
      <c r="C42" s="1011">
        <v>3</v>
      </c>
      <c r="D42" s="1012">
        <v>1</v>
      </c>
      <c r="E42" s="1012">
        <v>8</v>
      </c>
      <c r="F42" s="1012">
        <v>0</v>
      </c>
      <c r="G42" s="1012">
        <v>0</v>
      </c>
      <c r="H42" s="1012">
        <v>1</v>
      </c>
      <c r="I42" s="1126" t="s">
        <v>179</v>
      </c>
      <c r="J42" s="1127"/>
      <c r="K42" s="1127"/>
    </row>
    <row r="43" spans="1:12" ht="20.25" thickTop="1">
      <c r="A43" s="472" t="s">
        <v>86</v>
      </c>
      <c r="B43" s="473"/>
      <c r="C43" s="473"/>
      <c r="D43" s="473"/>
      <c r="E43" s="473"/>
      <c r="F43" s="473"/>
      <c r="G43" s="473"/>
      <c r="H43" s="473"/>
      <c r="I43" s="473"/>
      <c r="J43" s="473"/>
      <c r="K43" s="473"/>
    </row>
    <row r="44" spans="1:12" ht="19.5"/>
    <row r="45" spans="1:12" ht="19.5"/>
    <row r="46" spans="1:12" ht="19.5"/>
    <row r="47" spans="1:12" ht="19.5"/>
    <row r="48" spans="1:12" ht="19.5"/>
    <row r="49" ht="19.5"/>
    <row r="50" ht="19.5"/>
  </sheetData>
  <mergeCells count="3">
    <mergeCell ref="A2:K2"/>
    <mergeCell ref="I6:K6"/>
    <mergeCell ref="D3:F3"/>
  </mergeCells>
  <phoneticPr fontId="3" type="noConversion"/>
  <printOptions horizontalCentered="1"/>
  <pageMargins left="0.31496062992125984" right="0.31496062992125984" top="0.94488188976377963" bottom="0.51181102362204722" header="0.70866141732283472" footer="0.31496062992125984"/>
  <pageSetup paperSize="9" scale="67" fitToWidth="0" fitToHeight="0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L50"/>
  <sheetViews>
    <sheetView showGridLines="0" zoomScale="85" zoomScaleNormal="85" zoomScaleSheetLayoutView="70" workbookViewId="0">
      <selection activeCell="B8" sqref="B8:B11"/>
    </sheetView>
  </sheetViews>
  <sheetFormatPr defaultColWidth="16.42578125" defaultRowHeight="39.950000000000003" customHeight="1"/>
  <cols>
    <col min="1" max="1" width="15.5703125" style="7" customWidth="1"/>
    <col min="2" max="2" width="14.42578125" style="7" customWidth="1"/>
    <col min="3" max="6" width="10.42578125" style="7" customWidth="1"/>
    <col min="7" max="7" width="12.140625" style="7" customWidth="1"/>
    <col min="8" max="10" width="10.42578125" style="7" customWidth="1"/>
    <col min="11" max="11" width="15.7109375" style="7" customWidth="1"/>
    <col min="12" max="12" width="1.140625" style="7" customWidth="1"/>
    <col min="13" max="16384" width="16.42578125" style="7"/>
  </cols>
  <sheetData>
    <row r="1" spans="1:12" s="2" customFormat="1" ht="25.5">
      <c r="A1" s="474"/>
      <c r="B1" s="474"/>
      <c r="C1" s="474"/>
      <c r="D1" s="474"/>
      <c r="E1" s="474"/>
      <c r="F1" s="474"/>
      <c r="G1" s="474"/>
      <c r="H1" s="474"/>
      <c r="I1" s="474"/>
      <c r="J1" s="474"/>
      <c r="K1" s="474"/>
      <c r="L1" s="1"/>
    </row>
    <row r="2" spans="1:12" s="2" customFormat="1" ht="26.25">
      <c r="A2" s="1368" t="s">
        <v>67</v>
      </c>
      <c r="B2" s="1368"/>
      <c r="C2" s="1368"/>
      <c r="D2" s="1368"/>
      <c r="E2" s="1368"/>
      <c r="F2" s="1368"/>
      <c r="G2" s="1368"/>
      <c r="H2" s="1368"/>
      <c r="I2" s="1368"/>
      <c r="J2" s="1368"/>
      <c r="K2" s="1368"/>
      <c r="L2" s="1"/>
    </row>
    <row r="3" spans="1:12" s="2" customFormat="1" ht="25.5">
      <c r="A3" s="475"/>
      <c r="B3" s="476"/>
      <c r="C3" s="476"/>
      <c r="D3" s="1370" t="s">
        <v>108</v>
      </c>
      <c r="E3" s="1370"/>
      <c r="F3" s="1370"/>
      <c r="G3" s="476"/>
      <c r="H3" s="476"/>
      <c r="I3" s="476"/>
      <c r="J3" s="476"/>
      <c r="K3" s="476"/>
      <c r="L3" s="1"/>
    </row>
    <row r="4" spans="1:12" s="2" customFormat="1" ht="25.5">
      <c r="A4" s="475"/>
      <c r="B4" s="476"/>
      <c r="C4" s="476"/>
      <c r="D4" s="477"/>
      <c r="E4" s="477"/>
      <c r="F4" s="477"/>
      <c r="G4" s="476"/>
      <c r="H4" s="476"/>
      <c r="I4" s="476"/>
      <c r="J4" s="476"/>
      <c r="K4" s="476"/>
      <c r="L4" s="1"/>
    </row>
    <row r="5" spans="1:12" s="2" customFormat="1" ht="25.5">
      <c r="A5" s="478" t="s">
        <v>87</v>
      </c>
      <c r="B5" s="474"/>
      <c r="C5" s="474"/>
      <c r="D5" s="474"/>
      <c r="E5" s="474"/>
      <c r="F5" s="474"/>
      <c r="G5" s="474"/>
      <c r="H5" s="474"/>
      <c r="I5" s="474"/>
      <c r="J5" s="474"/>
      <c r="K5" s="474"/>
      <c r="L5" s="1"/>
    </row>
    <row r="6" spans="1:12" s="4" customFormat="1" ht="21" thickBot="1">
      <c r="A6" s="474"/>
      <c r="B6" s="474"/>
      <c r="C6" s="474"/>
      <c r="D6" s="474"/>
      <c r="E6" s="474"/>
      <c r="F6" s="474"/>
      <c r="G6" s="474"/>
      <c r="H6" s="474"/>
      <c r="I6" s="1369" t="s">
        <v>192</v>
      </c>
      <c r="J6" s="1369"/>
      <c r="K6" s="1369"/>
      <c r="L6" s="3"/>
    </row>
    <row r="7" spans="1:12" s="5" customFormat="1" ht="21.75" thickTop="1" thickBot="1">
      <c r="A7" s="479" t="s">
        <v>69</v>
      </c>
      <c r="B7" s="480" t="s">
        <v>1</v>
      </c>
      <c r="C7" s="482" t="s">
        <v>11</v>
      </c>
      <c r="D7" s="482" t="s">
        <v>12</v>
      </c>
      <c r="E7" s="482" t="s">
        <v>13</v>
      </c>
      <c r="F7" s="482" t="s">
        <v>14</v>
      </c>
      <c r="G7" s="482" t="s">
        <v>15</v>
      </c>
      <c r="H7" s="482" t="s">
        <v>16</v>
      </c>
      <c r="I7" s="482" t="s">
        <v>17</v>
      </c>
      <c r="J7" s="482" t="s">
        <v>18</v>
      </c>
      <c r="K7" s="483" t="s">
        <v>166</v>
      </c>
      <c r="L7" s="6"/>
    </row>
    <row r="8" spans="1:12" ht="19.5">
      <c r="A8" s="484" t="s">
        <v>2</v>
      </c>
      <c r="B8" s="1014">
        <v>3</v>
      </c>
      <c r="C8" s="1015">
        <v>0</v>
      </c>
      <c r="D8" s="1015">
        <v>0</v>
      </c>
      <c r="E8" s="1015">
        <v>0</v>
      </c>
      <c r="F8" s="1015">
        <v>0</v>
      </c>
      <c r="G8" s="1015">
        <v>0</v>
      </c>
      <c r="H8" s="1015">
        <v>0</v>
      </c>
      <c r="I8" s="1015">
        <v>2</v>
      </c>
      <c r="J8" s="1015">
        <v>0</v>
      </c>
      <c r="K8" s="1016">
        <v>1</v>
      </c>
      <c r="L8" s="8"/>
    </row>
    <row r="9" spans="1:12" s="10" customFormat="1" ht="17.25">
      <c r="A9" s="485" t="s">
        <v>71</v>
      </c>
      <c r="B9" s="1017">
        <v>2</v>
      </c>
      <c r="C9" s="1018">
        <v>0</v>
      </c>
      <c r="D9" s="1018">
        <v>0</v>
      </c>
      <c r="E9" s="1018">
        <v>0</v>
      </c>
      <c r="F9" s="1018">
        <v>0</v>
      </c>
      <c r="G9" s="1018">
        <v>0</v>
      </c>
      <c r="H9" s="1018">
        <v>0</v>
      </c>
      <c r="I9" s="1018">
        <v>1</v>
      </c>
      <c r="J9" s="1018">
        <v>0</v>
      </c>
      <c r="K9" s="1019">
        <v>1</v>
      </c>
      <c r="L9" s="9"/>
    </row>
    <row r="10" spans="1:12" s="12" customFormat="1" ht="17.25">
      <c r="A10" s="486" t="s">
        <v>72</v>
      </c>
      <c r="B10" s="1020">
        <v>1</v>
      </c>
      <c r="C10" s="1021">
        <v>0</v>
      </c>
      <c r="D10" s="1021">
        <v>0</v>
      </c>
      <c r="E10" s="1021">
        <v>0</v>
      </c>
      <c r="F10" s="1021">
        <v>0</v>
      </c>
      <c r="G10" s="1021">
        <v>0</v>
      </c>
      <c r="H10" s="1021">
        <v>0</v>
      </c>
      <c r="I10" s="1021">
        <v>1</v>
      </c>
      <c r="J10" s="1021">
        <v>0</v>
      </c>
      <c r="K10" s="1022">
        <v>0</v>
      </c>
      <c r="L10" s="11"/>
    </row>
    <row r="11" spans="1:12" s="12" customFormat="1" ht="18" thickBot="1">
      <c r="A11" s="487" t="s">
        <v>73</v>
      </c>
      <c r="B11" s="1023">
        <v>0</v>
      </c>
      <c r="C11" s="1024">
        <v>0</v>
      </c>
      <c r="D11" s="1024">
        <v>0</v>
      </c>
      <c r="E11" s="1024">
        <v>0</v>
      </c>
      <c r="F11" s="1024">
        <v>0</v>
      </c>
      <c r="G11" s="1024">
        <v>0</v>
      </c>
      <c r="H11" s="1024">
        <v>0</v>
      </c>
      <c r="I11" s="1024">
        <v>0</v>
      </c>
      <c r="J11" s="1024">
        <v>0</v>
      </c>
      <c r="K11" s="1025">
        <v>0</v>
      </c>
      <c r="L11" s="11"/>
    </row>
    <row r="12" spans="1:12" s="12" customFormat="1" ht="18" thickTop="1">
      <c r="A12" s="488" t="s">
        <v>74</v>
      </c>
      <c r="B12" s="474"/>
      <c r="C12" s="474"/>
      <c r="D12" s="474"/>
      <c r="E12" s="474"/>
      <c r="F12" s="474"/>
      <c r="G12" s="474"/>
      <c r="H12" s="474"/>
      <c r="I12" s="474"/>
      <c r="J12" s="474"/>
      <c r="K12" s="474"/>
      <c r="L12" s="11"/>
    </row>
    <row r="13" spans="1:12" s="12" customFormat="1" ht="17.25">
      <c r="A13" s="474"/>
      <c r="B13" s="474"/>
      <c r="C13" s="474"/>
      <c r="D13" s="474"/>
      <c r="E13" s="474"/>
      <c r="F13" s="474"/>
      <c r="G13" s="474"/>
      <c r="H13" s="474"/>
      <c r="I13" s="474"/>
      <c r="J13" s="474"/>
      <c r="K13" s="474"/>
      <c r="L13" s="11"/>
    </row>
    <row r="14" spans="1:12" s="13" customFormat="1" ht="16.5">
      <c r="A14" s="474"/>
      <c r="B14" s="474"/>
      <c r="C14" s="474"/>
      <c r="D14" s="474"/>
      <c r="E14" s="474"/>
      <c r="F14" s="474"/>
      <c r="G14" s="474"/>
      <c r="H14" s="474"/>
      <c r="I14" s="474"/>
      <c r="J14" s="474"/>
      <c r="K14" s="474"/>
      <c r="L14" s="14"/>
    </row>
    <row r="15" spans="1:12" s="15" customFormat="1" ht="13.5">
      <c r="A15" s="489" t="s">
        <v>88</v>
      </c>
      <c r="B15" s="489"/>
      <c r="C15" s="489"/>
      <c r="D15" s="489"/>
      <c r="E15" s="489"/>
      <c r="F15" s="489"/>
      <c r="G15" s="489"/>
      <c r="H15" s="489"/>
      <c r="I15" s="489"/>
      <c r="J15" s="489"/>
      <c r="K15" s="489"/>
      <c r="L15" s="16"/>
    </row>
    <row r="16" spans="1:12" s="10" customFormat="1" ht="17.25">
      <c r="A16" s="489" t="s">
        <v>75</v>
      </c>
      <c r="B16" s="489"/>
      <c r="C16" s="489"/>
      <c r="D16" s="489"/>
      <c r="E16" s="489"/>
      <c r="F16" s="489"/>
      <c r="G16" s="489"/>
      <c r="H16" s="489"/>
      <c r="I16" s="489"/>
      <c r="J16" s="489"/>
      <c r="K16" s="489"/>
      <c r="L16" s="9"/>
    </row>
    <row r="17" spans="1:12" s="10" customFormat="1" ht="18" thickBot="1">
      <c r="A17" s="490"/>
      <c r="B17" s="474"/>
      <c r="C17" s="474"/>
      <c r="D17" s="474"/>
      <c r="E17" s="474"/>
      <c r="F17" s="474"/>
      <c r="G17" s="474"/>
      <c r="H17" s="474"/>
      <c r="I17" s="474"/>
      <c r="J17" s="474"/>
      <c r="K17" s="474"/>
      <c r="L17" s="9"/>
    </row>
    <row r="18" spans="1:12" s="12" customFormat="1" ht="18.75" thickTop="1" thickBot="1">
      <c r="A18" s="479" t="s">
        <v>69</v>
      </c>
      <c r="B18" s="480" t="s">
        <v>1</v>
      </c>
      <c r="C18" s="482" t="s">
        <v>11</v>
      </c>
      <c r="D18" s="482" t="s">
        <v>12</v>
      </c>
      <c r="E18" s="482" t="s">
        <v>13</v>
      </c>
      <c r="F18" s="482" t="s">
        <v>14</v>
      </c>
      <c r="G18" s="482" t="s">
        <v>15</v>
      </c>
      <c r="H18" s="482" t="s">
        <v>16</v>
      </c>
      <c r="I18" s="482" t="s">
        <v>17</v>
      </c>
      <c r="J18" s="482" t="s">
        <v>18</v>
      </c>
      <c r="K18" s="1204" t="s">
        <v>166</v>
      </c>
      <c r="L18" s="11"/>
    </row>
    <row r="19" spans="1:12" s="12" customFormat="1" ht="17.25">
      <c r="A19" s="491" t="s">
        <v>2</v>
      </c>
      <c r="B19" s="1026">
        <v>2</v>
      </c>
      <c r="C19" s="1028">
        <v>0</v>
      </c>
      <c r="D19" s="1028">
        <v>0</v>
      </c>
      <c r="E19" s="1028">
        <v>0</v>
      </c>
      <c r="F19" s="1028">
        <v>0</v>
      </c>
      <c r="G19" s="1028">
        <v>0</v>
      </c>
      <c r="H19" s="1028">
        <v>0</v>
      </c>
      <c r="I19" s="1028">
        <v>1</v>
      </c>
      <c r="J19" s="1028">
        <v>0</v>
      </c>
      <c r="K19" s="1029">
        <v>1</v>
      </c>
      <c r="L19" s="11"/>
    </row>
    <row r="20" spans="1:12" s="12" customFormat="1" ht="17.25">
      <c r="A20" s="492" t="s">
        <v>71</v>
      </c>
      <c r="B20" s="1030">
        <v>2</v>
      </c>
      <c r="C20" s="1032">
        <v>0</v>
      </c>
      <c r="D20" s="1032">
        <v>0</v>
      </c>
      <c r="E20" s="1032">
        <v>0</v>
      </c>
      <c r="F20" s="1032">
        <v>0</v>
      </c>
      <c r="G20" s="1032">
        <v>0</v>
      </c>
      <c r="H20" s="1032">
        <v>0</v>
      </c>
      <c r="I20" s="1032">
        <v>1</v>
      </c>
      <c r="J20" s="1032">
        <v>0</v>
      </c>
      <c r="K20" s="1033">
        <v>1</v>
      </c>
      <c r="L20" s="11"/>
    </row>
    <row r="21" spans="1:12" s="12" customFormat="1" ht="17.25">
      <c r="A21" s="493" t="s">
        <v>72</v>
      </c>
      <c r="B21" s="1034">
        <v>0</v>
      </c>
      <c r="C21" s="1036">
        <v>0</v>
      </c>
      <c r="D21" s="1036">
        <v>0</v>
      </c>
      <c r="E21" s="1036">
        <v>0</v>
      </c>
      <c r="F21" s="1036">
        <v>0</v>
      </c>
      <c r="G21" s="1036">
        <v>0</v>
      </c>
      <c r="H21" s="1036">
        <v>0</v>
      </c>
      <c r="I21" s="1036">
        <v>0</v>
      </c>
      <c r="J21" s="1036">
        <v>0</v>
      </c>
      <c r="K21" s="1037">
        <v>0</v>
      </c>
      <c r="L21" s="11"/>
    </row>
    <row r="22" spans="1:12" s="17" customFormat="1" ht="20.25" thickBot="1">
      <c r="A22" s="494" t="s">
        <v>73</v>
      </c>
      <c r="B22" s="1038">
        <v>0</v>
      </c>
      <c r="C22" s="1040">
        <v>0</v>
      </c>
      <c r="D22" s="1040">
        <v>0</v>
      </c>
      <c r="E22" s="1040">
        <v>0</v>
      </c>
      <c r="F22" s="1040">
        <v>0</v>
      </c>
      <c r="G22" s="1040">
        <v>0</v>
      </c>
      <c r="H22" s="1040">
        <v>0</v>
      </c>
      <c r="I22" s="1040">
        <v>0</v>
      </c>
      <c r="J22" s="1040">
        <v>0</v>
      </c>
      <c r="K22" s="1041">
        <v>0</v>
      </c>
      <c r="L22" s="8"/>
    </row>
    <row r="23" spans="1:12" s="18" customFormat="1" ht="18" thickTop="1">
      <c r="A23" s="474"/>
      <c r="B23" s="474"/>
      <c r="C23" s="474"/>
      <c r="D23" s="474"/>
      <c r="E23" s="474"/>
      <c r="F23" s="474"/>
      <c r="G23" s="474"/>
      <c r="H23" s="474"/>
      <c r="I23" s="474"/>
      <c r="J23" s="474"/>
      <c r="K23" s="474"/>
      <c r="L23" s="9"/>
    </row>
    <row r="24" spans="1:12" s="10" customFormat="1" ht="17.25">
      <c r="A24" s="474"/>
      <c r="B24" s="474"/>
      <c r="C24" s="474"/>
      <c r="D24" s="474"/>
      <c r="E24" s="474"/>
      <c r="F24" s="474"/>
      <c r="G24" s="474"/>
      <c r="H24" s="474"/>
      <c r="I24" s="474"/>
      <c r="J24" s="474"/>
      <c r="K24" s="474"/>
      <c r="L24" s="9"/>
    </row>
    <row r="25" spans="1:12" s="12" customFormat="1" ht="17.25">
      <c r="A25" s="489" t="s">
        <v>89</v>
      </c>
      <c r="B25" s="489"/>
      <c r="C25" s="489"/>
      <c r="D25" s="489"/>
      <c r="E25" s="489"/>
      <c r="F25" s="489"/>
      <c r="G25" s="489"/>
      <c r="H25" s="489"/>
      <c r="I25" s="489"/>
      <c r="J25" s="489"/>
      <c r="K25" s="489"/>
      <c r="L25" s="11"/>
    </row>
    <row r="26" spans="1:12" s="12" customFormat="1" ht="17.25">
      <c r="A26" s="489" t="s">
        <v>76</v>
      </c>
      <c r="B26" s="489"/>
      <c r="C26" s="489"/>
      <c r="D26" s="489"/>
      <c r="E26" s="489"/>
      <c r="F26" s="489"/>
      <c r="G26" s="489"/>
      <c r="H26" s="489"/>
      <c r="I26" s="489"/>
      <c r="J26" s="489"/>
      <c r="K26" s="489"/>
      <c r="L26" s="11"/>
    </row>
    <row r="27" spans="1:12" s="12" customFormat="1" ht="18" thickBot="1">
      <c r="A27" s="490"/>
      <c r="B27" s="474"/>
      <c r="C27" s="474"/>
      <c r="D27" s="474"/>
      <c r="E27" s="474"/>
      <c r="F27" s="474"/>
      <c r="G27" s="474"/>
      <c r="H27" s="474"/>
      <c r="I27" s="474"/>
      <c r="J27" s="474"/>
      <c r="K27" s="474"/>
      <c r="L27" s="11"/>
    </row>
    <row r="28" spans="1:12" s="12" customFormat="1" ht="18.75" thickTop="1" thickBot="1">
      <c r="A28" s="479" t="s">
        <v>69</v>
      </c>
      <c r="B28" s="480" t="s">
        <v>1</v>
      </c>
      <c r="C28" s="482" t="s">
        <v>11</v>
      </c>
      <c r="D28" s="482" t="s">
        <v>12</v>
      </c>
      <c r="E28" s="482" t="s">
        <v>13</v>
      </c>
      <c r="F28" s="482" t="s">
        <v>14</v>
      </c>
      <c r="G28" s="482" t="s">
        <v>15</v>
      </c>
      <c r="H28" s="482" t="s">
        <v>16</v>
      </c>
      <c r="I28" s="482" t="s">
        <v>17</v>
      </c>
      <c r="J28" s="482" t="s">
        <v>18</v>
      </c>
      <c r="K28" s="1204" t="s">
        <v>166</v>
      </c>
      <c r="L28" s="11"/>
    </row>
    <row r="29" spans="1:12" ht="19.5">
      <c r="A29" s="491" t="s">
        <v>2</v>
      </c>
      <c r="B29" s="1026">
        <v>1</v>
      </c>
      <c r="C29" s="1028">
        <v>0</v>
      </c>
      <c r="D29" s="1028">
        <v>0</v>
      </c>
      <c r="E29" s="1028">
        <v>0</v>
      </c>
      <c r="F29" s="1028">
        <v>0</v>
      </c>
      <c r="G29" s="1028">
        <v>0</v>
      </c>
      <c r="H29" s="1028">
        <v>0</v>
      </c>
      <c r="I29" s="1028">
        <v>1</v>
      </c>
      <c r="J29" s="1028">
        <v>0</v>
      </c>
      <c r="K29" s="1029">
        <v>0</v>
      </c>
      <c r="L29" s="8"/>
    </row>
    <row r="30" spans="1:12" s="20" customFormat="1" ht="19.5">
      <c r="A30" s="492" t="s">
        <v>71</v>
      </c>
      <c r="B30" s="1030">
        <v>0</v>
      </c>
      <c r="C30" s="1032">
        <v>0</v>
      </c>
      <c r="D30" s="1032">
        <v>0</v>
      </c>
      <c r="E30" s="1032">
        <v>0</v>
      </c>
      <c r="F30" s="1032">
        <v>0</v>
      </c>
      <c r="G30" s="1032">
        <v>0</v>
      </c>
      <c r="H30" s="1032">
        <v>0</v>
      </c>
      <c r="I30" s="1032">
        <v>0</v>
      </c>
      <c r="J30" s="1032">
        <v>0</v>
      </c>
      <c r="K30" s="1033">
        <v>0</v>
      </c>
      <c r="L30" s="19"/>
    </row>
    <row r="31" spans="1:12" s="21" customFormat="1" ht="17.25">
      <c r="A31" s="493" t="s">
        <v>72</v>
      </c>
      <c r="B31" s="1034">
        <v>1</v>
      </c>
      <c r="C31" s="1036">
        <v>0</v>
      </c>
      <c r="D31" s="1036">
        <v>0</v>
      </c>
      <c r="E31" s="1036">
        <v>0</v>
      </c>
      <c r="F31" s="1036">
        <v>0</v>
      </c>
      <c r="G31" s="1036">
        <v>0</v>
      </c>
      <c r="H31" s="1036">
        <v>0</v>
      </c>
      <c r="I31" s="1036">
        <v>1</v>
      </c>
      <c r="J31" s="1036">
        <v>0</v>
      </c>
      <c r="K31" s="1037">
        <v>0</v>
      </c>
      <c r="L31" s="16"/>
    </row>
    <row r="32" spans="1:12" s="12" customFormat="1" ht="18" thickBot="1">
      <c r="A32" s="494" t="s">
        <v>73</v>
      </c>
      <c r="B32" s="1038">
        <v>0</v>
      </c>
      <c r="C32" s="1040">
        <v>0</v>
      </c>
      <c r="D32" s="1040">
        <v>0</v>
      </c>
      <c r="E32" s="1040">
        <v>0</v>
      </c>
      <c r="F32" s="1040">
        <v>0</v>
      </c>
      <c r="G32" s="1040">
        <v>0</v>
      </c>
      <c r="H32" s="1040">
        <v>0</v>
      </c>
      <c r="I32" s="1040">
        <v>0</v>
      </c>
      <c r="J32" s="1040">
        <v>0</v>
      </c>
      <c r="K32" s="1041">
        <v>0</v>
      </c>
      <c r="L32" s="16"/>
    </row>
    <row r="33" spans="1:12" s="12" customFormat="1" ht="18" thickTop="1">
      <c r="A33" s="474"/>
      <c r="B33" s="474"/>
      <c r="C33" s="474"/>
      <c r="D33" s="474"/>
      <c r="E33" s="474"/>
      <c r="F33" s="474"/>
      <c r="G33" s="474"/>
      <c r="H33" s="474"/>
      <c r="I33" s="474"/>
      <c r="J33" s="474"/>
      <c r="K33" s="474"/>
      <c r="L33" s="16"/>
    </row>
    <row r="34" spans="1:12" s="12" customFormat="1" ht="17.25">
      <c r="A34" s="474"/>
      <c r="B34" s="474"/>
      <c r="C34" s="474"/>
      <c r="D34" s="474"/>
      <c r="E34" s="474"/>
      <c r="F34" s="474"/>
      <c r="G34" s="474"/>
      <c r="H34" s="474"/>
      <c r="I34" s="474"/>
      <c r="J34" s="474"/>
      <c r="K34" s="474"/>
      <c r="L34" s="16"/>
    </row>
    <row r="35" spans="1:12" s="15" customFormat="1" ht="17.25">
      <c r="A35" s="478" t="s">
        <v>77</v>
      </c>
      <c r="B35" s="474"/>
      <c r="C35" s="474"/>
      <c r="D35" s="474"/>
      <c r="E35" s="474"/>
      <c r="F35" s="474"/>
      <c r="G35" s="474"/>
      <c r="H35" s="474"/>
      <c r="I35" s="474"/>
      <c r="J35" s="474"/>
      <c r="K35" s="474"/>
      <c r="L35" s="16"/>
    </row>
    <row r="36" spans="1:12" s="23" customFormat="1" ht="13.5">
      <c r="A36" s="489" t="s">
        <v>78</v>
      </c>
      <c r="B36" s="489"/>
      <c r="C36" s="489"/>
      <c r="D36" s="489"/>
      <c r="E36" s="489"/>
      <c r="F36" s="489"/>
      <c r="G36" s="489"/>
      <c r="H36" s="489"/>
      <c r="I36" s="489"/>
      <c r="J36" s="489"/>
      <c r="K36" s="489"/>
      <c r="L36" s="22"/>
    </row>
    <row r="37" spans="1:12" ht="20.25" thickBot="1">
      <c r="A37" s="474"/>
      <c r="B37" s="474"/>
      <c r="C37" s="474"/>
      <c r="D37" s="474"/>
      <c r="E37" s="474"/>
      <c r="F37" s="474"/>
      <c r="G37" s="474"/>
      <c r="H37" s="474"/>
      <c r="I37" s="474"/>
      <c r="J37" s="474"/>
      <c r="K37" s="474"/>
    </row>
    <row r="38" spans="1:12" ht="28.5" thickTop="1" thickBot="1">
      <c r="A38" s="479" t="s">
        <v>69</v>
      </c>
      <c r="B38" s="480" t="s">
        <v>1</v>
      </c>
      <c r="C38" s="481" t="s">
        <v>19</v>
      </c>
      <c r="D38" s="482" t="s">
        <v>20</v>
      </c>
      <c r="E38" s="482" t="s">
        <v>21</v>
      </c>
      <c r="F38" s="495" t="s">
        <v>79</v>
      </c>
      <c r="G38" s="495" t="s">
        <v>80</v>
      </c>
      <c r="H38" s="495" t="s">
        <v>81</v>
      </c>
      <c r="I38" s="1204" t="s">
        <v>82</v>
      </c>
      <c r="J38" s="1205"/>
      <c r="K38" s="1205"/>
    </row>
    <row r="39" spans="1:12" ht="19.5">
      <c r="A39" s="491" t="s">
        <v>2</v>
      </c>
      <c r="B39" s="1026">
        <v>2</v>
      </c>
      <c r="C39" s="1027">
        <v>1</v>
      </c>
      <c r="D39" s="1028">
        <v>0</v>
      </c>
      <c r="E39" s="1028">
        <v>0</v>
      </c>
      <c r="F39" s="1028">
        <v>0</v>
      </c>
      <c r="G39" s="1028">
        <v>0</v>
      </c>
      <c r="H39" s="1028">
        <v>1</v>
      </c>
      <c r="I39" s="1206"/>
      <c r="J39" s="1207"/>
      <c r="K39" s="1207"/>
    </row>
    <row r="40" spans="1:12" ht="19.5">
      <c r="A40" s="492" t="s">
        <v>71</v>
      </c>
      <c r="B40" s="1030">
        <v>0</v>
      </c>
      <c r="C40" s="1031">
        <v>0</v>
      </c>
      <c r="D40" s="1032">
        <v>0</v>
      </c>
      <c r="E40" s="1032">
        <v>0</v>
      </c>
      <c r="F40" s="1032">
        <v>0</v>
      </c>
      <c r="G40" s="1032">
        <v>0</v>
      </c>
      <c r="H40" s="1032">
        <v>0</v>
      </c>
      <c r="I40" s="1132" t="s">
        <v>83</v>
      </c>
      <c r="J40" s="1133"/>
      <c r="K40" s="1133"/>
    </row>
    <row r="41" spans="1:12" ht="19.5">
      <c r="A41" s="493" t="s">
        <v>72</v>
      </c>
      <c r="B41" s="1034">
        <v>2</v>
      </c>
      <c r="C41" s="1035">
        <v>1</v>
      </c>
      <c r="D41" s="1036">
        <v>0</v>
      </c>
      <c r="E41" s="1036">
        <v>0</v>
      </c>
      <c r="F41" s="1036">
        <v>0</v>
      </c>
      <c r="G41" s="1036">
        <v>0</v>
      </c>
      <c r="H41" s="1036">
        <v>1</v>
      </c>
      <c r="I41" s="1124" t="s">
        <v>84</v>
      </c>
      <c r="J41" s="1125"/>
      <c r="K41" s="1125"/>
    </row>
    <row r="42" spans="1:12" ht="20.25" thickBot="1">
      <c r="A42" s="494" t="s">
        <v>73</v>
      </c>
      <c r="B42" s="1038">
        <v>0</v>
      </c>
      <c r="C42" s="1039">
        <v>0</v>
      </c>
      <c r="D42" s="1040">
        <v>0</v>
      </c>
      <c r="E42" s="1040">
        <v>0</v>
      </c>
      <c r="F42" s="1040">
        <v>0</v>
      </c>
      <c r="G42" s="1040">
        <v>0</v>
      </c>
      <c r="H42" s="1040">
        <v>0</v>
      </c>
      <c r="I42" s="1126" t="s">
        <v>85</v>
      </c>
      <c r="J42" s="1127"/>
      <c r="K42" s="1127"/>
    </row>
    <row r="43" spans="1:12" ht="20.25" thickTop="1">
      <c r="A43" s="496" t="s">
        <v>86</v>
      </c>
      <c r="B43" s="497"/>
      <c r="C43" s="497"/>
      <c r="D43" s="497"/>
      <c r="E43" s="497"/>
      <c r="F43" s="497"/>
      <c r="G43" s="497"/>
      <c r="H43" s="497"/>
      <c r="I43" s="497"/>
      <c r="J43" s="497"/>
      <c r="K43" s="497"/>
    </row>
    <row r="44" spans="1:12" ht="19.5"/>
    <row r="45" spans="1:12" ht="19.5"/>
    <row r="46" spans="1:12" ht="19.5"/>
    <row r="47" spans="1:12" ht="19.5"/>
    <row r="48" spans="1:12" ht="19.5"/>
    <row r="49" ht="19.5"/>
    <row r="50" ht="19.5"/>
  </sheetData>
  <mergeCells count="3">
    <mergeCell ref="A2:K2"/>
    <mergeCell ref="I6:K6"/>
    <mergeCell ref="D3:F3"/>
  </mergeCells>
  <phoneticPr fontId="3" type="noConversion"/>
  <printOptions horizontalCentered="1"/>
  <pageMargins left="0.31496062992125984" right="0.31496062992125984" top="0.94488188976377963" bottom="0.51181102362204722" header="0.70866141732283472" footer="0.31496062992125984"/>
  <pageSetup paperSize="9" scale="67" fitToWidth="0" fitToHeight="0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L50"/>
  <sheetViews>
    <sheetView showGridLines="0" zoomScale="85" zoomScaleNormal="85" zoomScaleSheetLayoutView="70" workbookViewId="0">
      <selection activeCell="B8" sqref="B8:B11"/>
    </sheetView>
  </sheetViews>
  <sheetFormatPr defaultColWidth="16.42578125" defaultRowHeight="39.950000000000003" customHeight="1"/>
  <cols>
    <col min="1" max="1" width="15.5703125" style="7" customWidth="1"/>
    <col min="2" max="2" width="14.42578125" style="7" customWidth="1"/>
    <col min="3" max="6" width="10.42578125" style="7" customWidth="1"/>
    <col min="7" max="7" width="12.140625" style="7" customWidth="1"/>
    <col min="8" max="10" width="10.42578125" style="7" customWidth="1"/>
    <col min="11" max="11" width="16.28515625" style="7" customWidth="1"/>
    <col min="12" max="12" width="1.140625" style="7" customWidth="1"/>
    <col min="13" max="16384" width="16.42578125" style="7"/>
  </cols>
  <sheetData>
    <row r="1" spans="1:12" s="2" customFormat="1" ht="25.5">
      <c r="A1" s="474"/>
      <c r="B1" s="474"/>
      <c r="C1" s="474"/>
      <c r="D1" s="474"/>
      <c r="E1" s="474"/>
      <c r="F1" s="474"/>
      <c r="G1" s="474"/>
      <c r="H1" s="474"/>
      <c r="I1" s="474"/>
      <c r="J1" s="474"/>
      <c r="K1" s="474"/>
      <c r="L1" s="1"/>
    </row>
    <row r="2" spans="1:12" s="2" customFormat="1" ht="26.25">
      <c r="A2" s="1368" t="s">
        <v>67</v>
      </c>
      <c r="B2" s="1368"/>
      <c r="C2" s="1368"/>
      <c r="D2" s="1368"/>
      <c r="E2" s="1368"/>
      <c r="F2" s="1368"/>
      <c r="G2" s="1368"/>
      <c r="H2" s="1368"/>
      <c r="I2" s="1368"/>
      <c r="J2" s="1368"/>
      <c r="K2" s="1368"/>
      <c r="L2" s="1"/>
    </row>
    <row r="3" spans="1:12" s="2" customFormat="1" ht="25.5">
      <c r="A3" s="475"/>
      <c r="B3" s="476"/>
      <c r="C3" s="476"/>
      <c r="D3" s="1370" t="s">
        <v>168</v>
      </c>
      <c r="E3" s="1370"/>
      <c r="F3" s="1370"/>
      <c r="G3" s="476"/>
      <c r="H3" s="476"/>
      <c r="I3" s="476"/>
      <c r="J3" s="476"/>
      <c r="K3" s="476"/>
      <c r="L3" s="1"/>
    </row>
    <row r="4" spans="1:12" s="2" customFormat="1" ht="25.5">
      <c r="A4" s="475"/>
      <c r="B4" s="476"/>
      <c r="C4" s="476"/>
      <c r="D4" s="477"/>
      <c r="E4" s="477"/>
      <c r="F4" s="477"/>
      <c r="G4" s="476"/>
      <c r="H4" s="476"/>
      <c r="I4" s="476"/>
      <c r="J4" s="476"/>
      <c r="K4" s="476"/>
      <c r="L4" s="1"/>
    </row>
    <row r="5" spans="1:12" s="2" customFormat="1" ht="25.5">
      <c r="A5" s="478" t="s">
        <v>87</v>
      </c>
      <c r="B5" s="474"/>
      <c r="C5" s="474"/>
      <c r="D5" s="474"/>
      <c r="E5" s="474"/>
      <c r="F5" s="474"/>
      <c r="G5" s="474"/>
      <c r="H5" s="474"/>
      <c r="I5" s="474"/>
      <c r="J5" s="474"/>
      <c r="K5" s="474"/>
      <c r="L5" s="1"/>
    </row>
    <row r="6" spans="1:12" s="4" customFormat="1" ht="21" thickBot="1">
      <c r="A6" s="474"/>
      <c r="B6" s="474"/>
      <c r="C6" s="474"/>
      <c r="D6" s="474"/>
      <c r="E6" s="474"/>
      <c r="F6" s="474"/>
      <c r="G6" s="474"/>
      <c r="H6" s="474"/>
      <c r="I6" s="1369" t="s">
        <v>194</v>
      </c>
      <c r="J6" s="1369"/>
      <c r="K6" s="1369"/>
      <c r="L6" s="3"/>
    </row>
    <row r="7" spans="1:12" s="5" customFormat="1" ht="21.75" thickTop="1" thickBot="1">
      <c r="A7" s="479" t="s">
        <v>69</v>
      </c>
      <c r="B7" s="480" t="s">
        <v>1</v>
      </c>
      <c r="C7" s="482" t="s">
        <v>11</v>
      </c>
      <c r="D7" s="482" t="s">
        <v>12</v>
      </c>
      <c r="E7" s="482" t="s">
        <v>13</v>
      </c>
      <c r="F7" s="482" t="s">
        <v>14</v>
      </c>
      <c r="G7" s="482" t="s">
        <v>15</v>
      </c>
      <c r="H7" s="482" t="s">
        <v>16</v>
      </c>
      <c r="I7" s="482" t="s">
        <v>17</v>
      </c>
      <c r="J7" s="482" t="s">
        <v>18</v>
      </c>
      <c r="K7" s="483" t="s">
        <v>166</v>
      </c>
      <c r="L7" s="6"/>
    </row>
    <row r="8" spans="1:12" ht="19.5">
      <c r="A8" s="484" t="s">
        <v>2</v>
      </c>
      <c r="B8" s="1014">
        <v>11</v>
      </c>
      <c r="C8" s="1015">
        <v>0</v>
      </c>
      <c r="D8" s="1015">
        <v>0</v>
      </c>
      <c r="E8" s="1015">
        <v>0</v>
      </c>
      <c r="F8" s="1015">
        <v>5</v>
      </c>
      <c r="G8" s="1015">
        <v>2</v>
      </c>
      <c r="H8" s="1015">
        <v>0</v>
      </c>
      <c r="I8" s="1015">
        <v>2</v>
      </c>
      <c r="J8" s="1015">
        <v>1</v>
      </c>
      <c r="K8" s="1016">
        <v>1</v>
      </c>
      <c r="L8" s="8"/>
    </row>
    <row r="9" spans="1:12" s="10" customFormat="1" ht="17.25">
      <c r="A9" s="485" t="s">
        <v>71</v>
      </c>
      <c r="B9" s="1017">
        <v>4</v>
      </c>
      <c r="C9" s="1018">
        <v>0</v>
      </c>
      <c r="D9" s="1018">
        <v>0</v>
      </c>
      <c r="E9" s="1018">
        <v>0</v>
      </c>
      <c r="F9" s="1018">
        <v>0</v>
      </c>
      <c r="G9" s="1018">
        <v>0</v>
      </c>
      <c r="H9" s="1018">
        <v>0</v>
      </c>
      <c r="I9" s="1018">
        <v>2</v>
      </c>
      <c r="J9" s="1018">
        <v>1</v>
      </c>
      <c r="K9" s="1019">
        <v>1</v>
      </c>
      <c r="L9" s="9"/>
    </row>
    <row r="10" spans="1:12" s="12" customFormat="1" ht="17.25">
      <c r="A10" s="486" t="s">
        <v>72</v>
      </c>
      <c r="B10" s="1020">
        <v>7</v>
      </c>
      <c r="C10" s="1021">
        <v>0</v>
      </c>
      <c r="D10" s="1021">
        <v>0</v>
      </c>
      <c r="E10" s="1021">
        <v>0</v>
      </c>
      <c r="F10" s="1021">
        <v>5</v>
      </c>
      <c r="G10" s="1021">
        <v>2</v>
      </c>
      <c r="H10" s="1021">
        <v>0</v>
      </c>
      <c r="I10" s="1021">
        <v>0</v>
      </c>
      <c r="J10" s="1021">
        <v>0</v>
      </c>
      <c r="K10" s="1022">
        <v>0</v>
      </c>
      <c r="L10" s="11"/>
    </row>
    <row r="11" spans="1:12" s="12" customFormat="1" ht="18" thickBot="1">
      <c r="A11" s="487" t="s">
        <v>73</v>
      </c>
      <c r="B11" s="1023">
        <v>0</v>
      </c>
      <c r="C11" s="1024">
        <v>0</v>
      </c>
      <c r="D11" s="1024">
        <v>0</v>
      </c>
      <c r="E11" s="1024">
        <v>0</v>
      </c>
      <c r="F11" s="1024">
        <v>0</v>
      </c>
      <c r="G11" s="1024">
        <v>0</v>
      </c>
      <c r="H11" s="1024">
        <v>0</v>
      </c>
      <c r="I11" s="1024">
        <v>0</v>
      </c>
      <c r="J11" s="1024">
        <v>0</v>
      </c>
      <c r="K11" s="1025">
        <v>0</v>
      </c>
      <c r="L11" s="11"/>
    </row>
    <row r="12" spans="1:12" s="12" customFormat="1" ht="18" thickTop="1">
      <c r="A12" s="488" t="s">
        <v>74</v>
      </c>
      <c r="B12" s="474"/>
      <c r="C12" s="474"/>
      <c r="D12" s="474"/>
      <c r="E12" s="474"/>
      <c r="F12" s="474"/>
      <c r="G12" s="474"/>
      <c r="H12" s="474"/>
      <c r="I12" s="474"/>
      <c r="J12" s="474"/>
      <c r="K12" s="474"/>
      <c r="L12" s="11"/>
    </row>
    <row r="13" spans="1:12" s="12" customFormat="1" ht="17.25">
      <c r="A13" s="474"/>
      <c r="B13" s="474"/>
      <c r="C13" s="474"/>
      <c r="D13" s="474"/>
      <c r="E13" s="474"/>
      <c r="F13" s="474"/>
      <c r="G13" s="474"/>
      <c r="H13" s="474"/>
      <c r="I13" s="474"/>
      <c r="J13" s="474"/>
      <c r="K13" s="474"/>
      <c r="L13" s="11"/>
    </row>
    <row r="14" spans="1:12" s="13" customFormat="1" ht="16.5">
      <c r="A14" s="474"/>
      <c r="B14" s="474"/>
      <c r="C14" s="474"/>
      <c r="D14" s="474"/>
      <c r="E14" s="474"/>
      <c r="F14" s="474"/>
      <c r="G14" s="474"/>
      <c r="H14" s="474"/>
      <c r="I14" s="474"/>
      <c r="J14" s="474"/>
      <c r="K14" s="474"/>
      <c r="L14" s="14"/>
    </row>
    <row r="15" spans="1:12" s="15" customFormat="1" ht="13.5">
      <c r="A15" s="489" t="s">
        <v>88</v>
      </c>
      <c r="B15" s="489"/>
      <c r="C15" s="489"/>
      <c r="D15" s="489"/>
      <c r="E15" s="489"/>
      <c r="F15" s="489"/>
      <c r="G15" s="489"/>
      <c r="H15" s="489"/>
      <c r="I15" s="489"/>
      <c r="J15" s="489"/>
      <c r="K15" s="489"/>
      <c r="L15" s="16"/>
    </row>
    <row r="16" spans="1:12" s="10" customFormat="1" ht="17.25">
      <c r="A16" s="489" t="s">
        <v>75</v>
      </c>
      <c r="B16" s="489"/>
      <c r="C16" s="489"/>
      <c r="D16" s="489"/>
      <c r="E16" s="489"/>
      <c r="F16" s="489"/>
      <c r="G16" s="489"/>
      <c r="H16" s="489"/>
      <c r="I16" s="489"/>
      <c r="J16" s="489"/>
      <c r="K16" s="489"/>
      <c r="L16" s="9"/>
    </row>
    <row r="17" spans="1:12" s="10" customFormat="1" ht="18" thickBot="1">
      <c r="A17" s="490"/>
      <c r="B17" s="474"/>
      <c r="C17" s="474"/>
      <c r="D17" s="474"/>
      <c r="E17" s="474"/>
      <c r="F17" s="474"/>
      <c r="G17" s="474"/>
      <c r="H17" s="474"/>
      <c r="I17" s="474"/>
      <c r="J17" s="474"/>
      <c r="K17" s="474"/>
      <c r="L17" s="9"/>
    </row>
    <row r="18" spans="1:12" s="12" customFormat="1" ht="18.75" thickTop="1" thickBot="1">
      <c r="A18" s="479" t="s">
        <v>69</v>
      </c>
      <c r="B18" s="480" t="s">
        <v>1</v>
      </c>
      <c r="C18" s="482" t="s">
        <v>11</v>
      </c>
      <c r="D18" s="482" t="s">
        <v>12</v>
      </c>
      <c r="E18" s="482" t="s">
        <v>13</v>
      </c>
      <c r="F18" s="482" t="s">
        <v>14</v>
      </c>
      <c r="G18" s="482" t="s">
        <v>15</v>
      </c>
      <c r="H18" s="482" t="s">
        <v>16</v>
      </c>
      <c r="I18" s="482" t="s">
        <v>17</v>
      </c>
      <c r="J18" s="482" t="s">
        <v>18</v>
      </c>
      <c r="K18" s="1204" t="s">
        <v>166</v>
      </c>
      <c r="L18" s="11"/>
    </row>
    <row r="19" spans="1:12" s="12" customFormat="1" ht="17.25">
      <c r="A19" s="491" t="s">
        <v>2</v>
      </c>
      <c r="B19" s="1026">
        <v>9</v>
      </c>
      <c r="C19" s="1028">
        <v>0</v>
      </c>
      <c r="D19" s="1028">
        <v>0</v>
      </c>
      <c r="E19" s="1028">
        <v>0</v>
      </c>
      <c r="F19" s="1028">
        <v>5</v>
      </c>
      <c r="G19" s="1028">
        <v>2</v>
      </c>
      <c r="H19" s="1028">
        <v>0</v>
      </c>
      <c r="I19" s="1028">
        <v>1</v>
      </c>
      <c r="J19" s="1028">
        <v>1</v>
      </c>
      <c r="K19" s="1029">
        <v>0</v>
      </c>
      <c r="L19" s="11">
        <v>0</v>
      </c>
    </row>
    <row r="20" spans="1:12" s="12" customFormat="1" ht="17.25">
      <c r="A20" s="492" t="s">
        <v>71</v>
      </c>
      <c r="B20" s="1030">
        <v>2</v>
      </c>
      <c r="C20" s="1032">
        <v>0</v>
      </c>
      <c r="D20" s="1032">
        <v>0</v>
      </c>
      <c r="E20" s="1032">
        <v>0</v>
      </c>
      <c r="F20" s="1032">
        <v>0</v>
      </c>
      <c r="G20" s="1032">
        <v>0</v>
      </c>
      <c r="H20" s="1032">
        <v>0</v>
      </c>
      <c r="I20" s="1032">
        <v>1</v>
      </c>
      <c r="J20" s="1032">
        <v>1</v>
      </c>
      <c r="K20" s="1033">
        <v>0</v>
      </c>
      <c r="L20" s="11">
        <v>0</v>
      </c>
    </row>
    <row r="21" spans="1:12" s="12" customFormat="1" ht="17.25">
      <c r="A21" s="493" t="s">
        <v>72</v>
      </c>
      <c r="B21" s="1034">
        <v>7</v>
      </c>
      <c r="C21" s="1036">
        <v>0</v>
      </c>
      <c r="D21" s="1036">
        <v>0</v>
      </c>
      <c r="E21" s="1036">
        <v>0</v>
      </c>
      <c r="F21" s="1036">
        <v>5</v>
      </c>
      <c r="G21" s="1036">
        <v>2</v>
      </c>
      <c r="H21" s="1036">
        <v>0</v>
      </c>
      <c r="I21" s="1036">
        <v>0</v>
      </c>
      <c r="J21" s="1036">
        <v>0</v>
      </c>
      <c r="K21" s="1037">
        <v>0</v>
      </c>
      <c r="L21" s="11">
        <v>0</v>
      </c>
    </row>
    <row r="22" spans="1:12" s="17" customFormat="1" ht="20.25" thickBot="1">
      <c r="A22" s="494" t="s">
        <v>73</v>
      </c>
      <c r="B22" s="1038">
        <v>0</v>
      </c>
      <c r="C22" s="1040">
        <v>0</v>
      </c>
      <c r="D22" s="1040">
        <v>0</v>
      </c>
      <c r="E22" s="1040">
        <v>0</v>
      </c>
      <c r="F22" s="1040">
        <v>0</v>
      </c>
      <c r="G22" s="1040">
        <v>0</v>
      </c>
      <c r="H22" s="1040">
        <v>0</v>
      </c>
      <c r="I22" s="1040">
        <v>0</v>
      </c>
      <c r="J22" s="1040">
        <v>0</v>
      </c>
      <c r="K22" s="1041">
        <v>0</v>
      </c>
      <c r="L22" s="8">
        <v>0</v>
      </c>
    </row>
    <row r="23" spans="1:12" s="18" customFormat="1" ht="18" thickTop="1">
      <c r="A23" s="474"/>
      <c r="B23" s="474"/>
      <c r="C23" s="474"/>
      <c r="D23" s="474"/>
      <c r="E23" s="474"/>
      <c r="F23" s="474"/>
      <c r="G23" s="474"/>
      <c r="H23" s="474"/>
      <c r="I23" s="474"/>
      <c r="J23" s="474"/>
      <c r="K23" s="474"/>
      <c r="L23" s="9"/>
    </row>
    <row r="24" spans="1:12" s="10" customFormat="1" ht="17.25">
      <c r="A24" s="474"/>
      <c r="B24" s="474"/>
      <c r="C24" s="474"/>
      <c r="D24" s="474"/>
      <c r="E24" s="474"/>
      <c r="F24" s="474"/>
      <c r="G24" s="474"/>
      <c r="H24" s="474"/>
      <c r="I24" s="474"/>
      <c r="J24" s="474"/>
      <c r="K24" s="474"/>
      <c r="L24" s="9"/>
    </row>
    <row r="25" spans="1:12" s="12" customFormat="1" ht="17.25">
      <c r="A25" s="489" t="s">
        <v>89</v>
      </c>
      <c r="B25" s="489"/>
      <c r="C25" s="489"/>
      <c r="D25" s="489"/>
      <c r="E25" s="489"/>
      <c r="F25" s="489"/>
      <c r="G25" s="489"/>
      <c r="H25" s="489"/>
      <c r="I25" s="489"/>
      <c r="J25" s="489"/>
      <c r="K25" s="489"/>
      <c r="L25" s="11"/>
    </row>
    <row r="26" spans="1:12" s="12" customFormat="1" ht="17.25">
      <c r="A26" s="489" t="s">
        <v>76</v>
      </c>
      <c r="B26" s="489"/>
      <c r="C26" s="489"/>
      <c r="D26" s="489"/>
      <c r="E26" s="489"/>
      <c r="F26" s="489"/>
      <c r="G26" s="489"/>
      <c r="H26" s="489"/>
      <c r="I26" s="489"/>
      <c r="J26" s="489"/>
      <c r="K26" s="489"/>
      <c r="L26" s="11"/>
    </row>
    <row r="27" spans="1:12" s="12" customFormat="1" ht="18" thickBot="1">
      <c r="A27" s="490"/>
      <c r="B27" s="474"/>
      <c r="C27" s="474"/>
      <c r="D27" s="474"/>
      <c r="E27" s="474"/>
      <c r="F27" s="474"/>
      <c r="G27" s="474"/>
      <c r="H27" s="474"/>
      <c r="I27" s="474"/>
      <c r="J27" s="474"/>
      <c r="K27" s="474"/>
      <c r="L27" s="11"/>
    </row>
    <row r="28" spans="1:12" s="12" customFormat="1" ht="18.75" thickTop="1" thickBot="1">
      <c r="A28" s="479" t="s">
        <v>69</v>
      </c>
      <c r="B28" s="480" t="s">
        <v>1</v>
      </c>
      <c r="C28" s="482" t="s">
        <v>11</v>
      </c>
      <c r="D28" s="482" t="s">
        <v>12</v>
      </c>
      <c r="E28" s="482" t="s">
        <v>13</v>
      </c>
      <c r="F28" s="482" t="s">
        <v>14</v>
      </c>
      <c r="G28" s="482" t="s">
        <v>15</v>
      </c>
      <c r="H28" s="482" t="s">
        <v>16</v>
      </c>
      <c r="I28" s="482" t="s">
        <v>17</v>
      </c>
      <c r="J28" s="482" t="s">
        <v>18</v>
      </c>
      <c r="K28" s="1204" t="s">
        <v>166</v>
      </c>
      <c r="L28" s="11"/>
    </row>
    <row r="29" spans="1:12" ht="19.5">
      <c r="A29" s="491" t="s">
        <v>2</v>
      </c>
      <c r="B29" s="1026">
        <v>2</v>
      </c>
      <c r="C29" s="1028">
        <v>0</v>
      </c>
      <c r="D29" s="1028">
        <v>0</v>
      </c>
      <c r="E29" s="1028">
        <v>0</v>
      </c>
      <c r="F29" s="1028">
        <v>0</v>
      </c>
      <c r="G29" s="1028">
        <v>0</v>
      </c>
      <c r="H29" s="1028">
        <v>0</v>
      </c>
      <c r="I29" s="1028">
        <v>1</v>
      </c>
      <c r="J29" s="1028">
        <v>0</v>
      </c>
      <c r="K29" s="1029">
        <v>1</v>
      </c>
      <c r="L29" s="8"/>
    </row>
    <row r="30" spans="1:12" s="20" customFormat="1" ht="19.5">
      <c r="A30" s="492" t="s">
        <v>71</v>
      </c>
      <c r="B30" s="1030">
        <v>2</v>
      </c>
      <c r="C30" s="1032">
        <v>0</v>
      </c>
      <c r="D30" s="1032">
        <v>0</v>
      </c>
      <c r="E30" s="1032">
        <v>0</v>
      </c>
      <c r="F30" s="1032">
        <v>0</v>
      </c>
      <c r="G30" s="1032">
        <v>0</v>
      </c>
      <c r="H30" s="1032">
        <v>0</v>
      </c>
      <c r="I30" s="1032">
        <v>1</v>
      </c>
      <c r="J30" s="1032">
        <v>0</v>
      </c>
      <c r="K30" s="1033">
        <v>1</v>
      </c>
      <c r="L30" s="19"/>
    </row>
    <row r="31" spans="1:12" s="21" customFormat="1" ht="17.25">
      <c r="A31" s="493" t="s">
        <v>72</v>
      </c>
      <c r="B31" s="1034">
        <v>0</v>
      </c>
      <c r="C31" s="1036">
        <v>0</v>
      </c>
      <c r="D31" s="1036">
        <v>0</v>
      </c>
      <c r="E31" s="1036">
        <v>0</v>
      </c>
      <c r="F31" s="1036">
        <v>0</v>
      </c>
      <c r="G31" s="1036">
        <v>0</v>
      </c>
      <c r="H31" s="1036">
        <v>0</v>
      </c>
      <c r="I31" s="1036">
        <v>0</v>
      </c>
      <c r="J31" s="1036">
        <v>0</v>
      </c>
      <c r="K31" s="1037">
        <v>0</v>
      </c>
      <c r="L31" s="16"/>
    </row>
    <row r="32" spans="1:12" s="12" customFormat="1" ht="18" thickBot="1">
      <c r="A32" s="494" t="s">
        <v>73</v>
      </c>
      <c r="B32" s="1038">
        <v>0</v>
      </c>
      <c r="C32" s="1040">
        <v>0</v>
      </c>
      <c r="D32" s="1040">
        <v>0</v>
      </c>
      <c r="E32" s="1040">
        <v>0</v>
      </c>
      <c r="F32" s="1040">
        <v>0</v>
      </c>
      <c r="G32" s="1040">
        <v>0</v>
      </c>
      <c r="H32" s="1040">
        <v>0</v>
      </c>
      <c r="I32" s="1040">
        <v>0</v>
      </c>
      <c r="J32" s="1040">
        <v>0</v>
      </c>
      <c r="K32" s="1041">
        <v>0</v>
      </c>
      <c r="L32" s="16"/>
    </row>
    <row r="33" spans="1:12" s="12" customFormat="1" ht="18" thickTop="1">
      <c r="A33" s="474"/>
      <c r="B33" s="474"/>
      <c r="C33" s="474"/>
      <c r="D33" s="474"/>
      <c r="E33" s="474"/>
      <c r="F33" s="474"/>
      <c r="G33" s="474"/>
      <c r="H33" s="474"/>
      <c r="I33" s="474"/>
      <c r="J33" s="474"/>
      <c r="K33" s="474"/>
      <c r="L33" s="16"/>
    </row>
    <row r="34" spans="1:12" s="12" customFormat="1" ht="17.25">
      <c r="A34" s="474"/>
      <c r="B34" s="474"/>
      <c r="C34" s="474"/>
      <c r="D34" s="474"/>
      <c r="E34" s="474"/>
      <c r="F34" s="474"/>
      <c r="G34" s="474"/>
      <c r="H34" s="474"/>
      <c r="I34" s="474"/>
      <c r="J34" s="474"/>
      <c r="K34" s="474"/>
      <c r="L34" s="16"/>
    </row>
    <row r="35" spans="1:12" s="15" customFormat="1" ht="17.25">
      <c r="A35" s="478" t="s">
        <v>77</v>
      </c>
      <c r="B35" s="474"/>
      <c r="C35" s="474"/>
      <c r="D35" s="474"/>
      <c r="E35" s="474"/>
      <c r="F35" s="474"/>
      <c r="G35" s="474"/>
      <c r="H35" s="474"/>
      <c r="I35" s="474"/>
      <c r="J35" s="474"/>
      <c r="K35" s="474"/>
      <c r="L35" s="16"/>
    </row>
    <row r="36" spans="1:12" s="23" customFormat="1" ht="13.5">
      <c r="A36" s="489" t="s">
        <v>78</v>
      </c>
      <c r="B36" s="489"/>
      <c r="C36" s="489"/>
      <c r="D36" s="489"/>
      <c r="E36" s="489"/>
      <c r="F36" s="489"/>
      <c r="G36" s="489"/>
      <c r="H36" s="489"/>
      <c r="I36" s="489"/>
      <c r="J36" s="489"/>
      <c r="K36" s="489"/>
      <c r="L36" s="22"/>
    </row>
    <row r="37" spans="1:12" ht="20.25" thickBot="1">
      <c r="A37" s="474"/>
      <c r="B37" s="474"/>
      <c r="C37" s="474"/>
      <c r="D37" s="474"/>
      <c r="E37" s="474"/>
      <c r="F37" s="474"/>
      <c r="G37" s="474"/>
      <c r="H37" s="474"/>
      <c r="I37" s="474"/>
      <c r="J37" s="474"/>
      <c r="K37" s="474"/>
    </row>
    <row r="38" spans="1:12" ht="28.5" thickTop="1" thickBot="1">
      <c r="A38" s="479" t="s">
        <v>69</v>
      </c>
      <c r="B38" s="480" t="s">
        <v>1</v>
      </c>
      <c r="C38" s="481" t="s">
        <v>19</v>
      </c>
      <c r="D38" s="482" t="s">
        <v>20</v>
      </c>
      <c r="E38" s="482" t="s">
        <v>21</v>
      </c>
      <c r="F38" s="495" t="s">
        <v>79</v>
      </c>
      <c r="G38" s="495" t="s">
        <v>80</v>
      </c>
      <c r="H38" s="495" t="s">
        <v>81</v>
      </c>
      <c r="I38" s="1204" t="s">
        <v>82</v>
      </c>
      <c r="J38" s="1205"/>
      <c r="K38" s="1205"/>
    </row>
    <row r="39" spans="1:12" ht="19.5">
      <c r="A39" s="491" t="s">
        <v>2</v>
      </c>
      <c r="B39" s="1026">
        <v>2</v>
      </c>
      <c r="C39" s="1027">
        <v>0</v>
      </c>
      <c r="D39" s="1028">
        <v>0</v>
      </c>
      <c r="E39" s="1028">
        <v>2</v>
      </c>
      <c r="F39" s="1028">
        <v>0</v>
      </c>
      <c r="G39" s="1028">
        <v>0</v>
      </c>
      <c r="H39" s="1028">
        <v>0</v>
      </c>
      <c r="I39" s="1206"/>
      <c r="J39" s="1207"/>
      <c r="K39" s="1207"/>
    </row>
    <row r="40" spans="1:12" ht="19.5">
      <c r="A40" s="492" t="s">
        <v>71</v>
      </c>
      <c r="B40" s="1030">
        <v>2</v>
      </c>
      <c r="C40" s="1031">
        <v>0</v>
      </c>
      <c r="D40" s="1032">
        <v>0</v>
      </c>
      <c r="E40" s="1032">
        <v>2</v>
      </c>
      <c r="F40" s="1032">
        <v>0</v>
      </c>
      <c r="G40" s="1032">
        <v>0</v>
      </c>
      <c r="H40" s="1032">
        <v>0</v>
      </c>
      <c r="I40" s="1132" t="s">
        <v>83</v>
      </c>
      <c r="J40" s="1133"/>
      <c r="K40" s="1133"/>
    </row>
    <row r="41" spans="1:12" ht="19.5">
      <c r="A41" s="493" t="s">
        <v>72</v>
      </c>
      <c r="B41" s="1034">
        <v>0</v>
      </c>
      <c r="C41" s="1035">
        <v>0</v>
      </c>
      <c r="D41" s="1036">
        <v>0</v>
      </c>
      <c r="E41" s="1036">
        <v>0</v>
      </c>
      <c r="F41" s="1036">
        <v>0</v>
      </c>
      <c r="G41" s="1036">
        <v>0</v>
      </c>
      <c r="H41" s="1036">
        <v>0</v>
      </c>
      <c r="I41" s="1124" t="s">
        <v>84</v>
      </c>
      <c r="J41" s="1125"/>
      <c r="K41" s="1125"/>
    </row>
    <row r="42" spans="1:12" ht="20.25" thickBot="1">
      <c r="A42" s="494" t="s">
        <v>73</v>
      </c>
      <c r="B42" s="1038">
        <v>0</v>
      </c>
      <c r="C42" s="1039">
        <v>0</v>
      </c>
      <c r="D42" s="1040">
        <v>0</v>
      </c>
      <c r="E42" s="1040">
        <v>0</v>
      </c>
      <c r="F42" s="1040">
        <v>0</v>
      </c>
      <c r="G42" s="1040">
        <v>0</v>
      </c>
      <c r="H42" s="1040">
        <v>0</v>
      </c>
      <c r="I42" s="1126" t="s">
        <v>85</v>
      </c>
      <c r="J42" s="1127"/>
      <c r="K42" s="1127"/>
    </row>
    <row r="43" spans="1:12" ht="20.25" thickTop="1">
      <c r="A43" s="496" t="s">
        <v>86</v>
      </c>
      <c r="B43" s="497"/>
      <c r="C43" s="497"/>
      <c r="D43" s="497"/>
      <c r="E43" s="497"/>
      <c r="F43" s="497"/>
      <c r="G43" s="497"/>
      <c r="H43" s="497"/>
      <c r="I43" s="497"/>
      <c r="J43" s="497"/>
      <c r="K43" s="497"/>
    </row>
    <row r="44" spans="1:12" ht="19.5"/>
    <row r="45" spans="1:12" ht="19.5"/>
    <row r="46" spans="1:12" ht="19.5"/>
    <row r="47" spans="1:12" ht="19.5"/>
    <row r="48" spans="1:12" ht="19.5"/>
    <row r="49" ht="19.5"/>
    <row r="50" ht="19.5"/>
  </sheetData>
  <mergeCells count="3">
    <mergeCell ref="A2:K2"/>
    <mergeCell ref="D3:F3"/>
    <mergeCell ref="I6:K6"/>
  </mergeCells>
  <phoneticPr fontId="3" type="noConversion"/>
  <printOptions horizontalCentered="1"/>
  <pageMargins left="0.31496062992125984" right="0.31496062992125984" top="0.94488188976377963" bottom="0.51181102362204722" header="0.70866141732283472" footer="0.31496062992125984"/>
  <pageSetup paperSize="9" scale="67" fitToWidth="0" fitToHeight="0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6"/>
  <sheetViews>
    <sheetView showGridLines="0" topLeftCell="A4" zoomScale="85" zoomScaleNormal="85" workbookViewId="0">
      <selection activeCell="L13" sqref="L13:M13"/>
    </sheetView>
  </sheetViews>
  <sheetFormatPr defaultRowHeight="20.100000000000001" customHeight="1"/>
  <cols>
    <col min="1" max="1" width="6.42578125" style="30" customWidth="1"/>
    <col min="2" max="2" width="7.5703125" style="30" customWidth="1"/>
    <col min="3" max="4" width="5.28515625" style="30" customWidth="1"/>
    <col min="5" max="5" width="9.85546875" style="30" customWidth="1"/>
    <col min="6" max="6" width="11.28515625" style="30" customWidth="1"/>
    <col min="7" max="7" width="9.85546875" style="30" customWidth="1"/>
    <col min="8" max="9" width="11.28515625" style="30" customWidth="1"/>
    <col min="10" max="10" width="9.85546875" style="30" customWidth="1"/>
    <col min="11" max="11" width="10.7109375" style="30" customWidth="1"/>
    <col min="12" max="12" width="9.85546875" style="30" customWidth="1"/>
    <col min="13" max="13" width="10.42578125" style="30" customWidth="1"/>
    <col min="14" max="14" width="11.28515625" style="30" customWidth="1"/>
    <col min="15" max="15" width="15.5703125" style="30" customWidth="1"/>
    <col min="16" max="16" width="2.140625" style="30" customWidth="1"/>
    <col min="17" max="17" width="11" style="30" bestFit="1" customWidth="1"/>
    <col min="18" max="16384" width="9.140625" style="30"/>
  </cols>
  <sheetData>
    <row r="1" spans="1:16" ht="17.25">
      <c r="A1" s="541"/>
      <c r="B1" s="541"/>
      <c r="C1" s="541"/>
      <c r="D1" s="541"/>
      <c r="E1" s="541"/>
      <c r="F1" s="541"/>
      <c r="G1" s="541"/>
      <c r="H1" s="541"/>
      <c r="I1" s="541"/>
      <c r="J1" s="541"/>
      <c r="K1" s="541"/>
      <c r="L1" s="541"/>
      <c r="M1" s="541"/>
      <c r="N1" s="541"/>
      <c r="O1" s="541"/>
      <c r="P1" s="31"/>
    </row>
    <row r="2" spans="1:16" s="33" customFormat="1" ht="31.5">
      <c r="A2" s="1398" t="s">
        <v>109</v>
      </c>
      <c r="B2" s="1398"/>
      <c r="C2" s="1398"/>
      <c r="D2" s="1398"/>
      <c r="E2" s="1398"/>
      <c r="F2" s="1398"/>
      <c r="G2" s="1398"/>
      <c r="H2" s="1398"/>
      <c r="I2" s="1398"/>
      <c r="J2" s="1398"/>
      <c r="K2" s="1398"/>
      <c r="L2" s="1398"/>
      <c r="M2" s="1398"/>
      <c r="N2" s="1398"/>
      <c r="O2" s="1398"/>
      <c r="P2" s="32"/>
    </row>
    <row r="3" spans="1:16" ht="19.5">
      <c r="A3" s="1409" t="s">
        <v>110</v>
      </c>
      <c r="B3" s="1409"/>
      <c r="C3" s="1409"/>
      <c r="D3" s="1409"/>
      <c r="E3" s="1409"/>
      <c r="F3" s="1409"/>
      <c r="G3" s="1409"/>
      <c r="H3" s="1409"/>
      <c r="I3" s="1409"/>
      <c r="J3" s="1409"/>
      <c r="K3" s="1409"/>
      <c r="L3" s="1409"/>
      <c r="M3" s="1409"/>
      <c r="N3" s="1409"/>
      <c r="O3" s="1409"/>
      <c r="P3" s="31"/>
    </row>
    <row r="4" spans="1:16" s="35" customFormat="1" ht="17.25">
      <c r="A4" s="541"/>
      <c r="B4" s="541"/>
      <c r="C4" s="541"/>
      <c r="D4" s="541"/>
      <c r="E4" s="541"/>
      <c r="F4" s="541"/>
      <c r="G4" s="541"/>
      <c r="H4" s="541"/>
      <c r="I4" s="541"/>
      <c r="J4" s="541"/>
      <c r="K4" s="541"/>
      <c r="L4" s="541"/>
      <c r="M4" s="541" t="s">
        <v>0</v>
      </c>
      <c r="N4" s="541" t="s">
        <v>0</v>
      </c>
      <c r="O4" s="541"/>
      <c r="P4" s="34"/>
    </row>
    <row r="5" spans="1:16" ht="18" thickBot="1">
      <c r="A5" s="542" t="s">
        <v>111</v>
      </c>
      <c r="B5" s="543"/>
      <c r="C5" s="543"/>
      <c r="D5" s="543"/>
      <c r="E5" s="543"/>
      <c r="F5" s="543"/>
      <c r="G5" s="543"/>
      <c r="H5" s="543"/>
      <c r="I5" s="543"/>
      <c r="J5" s="543"/>
      <c r="K5" s="543"/>
      <c r="L5" s="543"/>
      <c r="M5" s="544"/>
      <c r="N5" s="543"/>
      <c r="O5" s="545" t="s">
        <v>197</v>
      </c>
      <c r="P5" s="31"/>
    </row>
    <row r="6" spans="1:16" ht="18" thickTop="1">
      <c r="A6" s="1399" t="s">
        <v>112</v>
      </c>
      <c r="B6" s="1400"/>
      <c r="C6" s="1400"/>
      <c r="D6" s="1400"/>
      <c r="E6" s="1400"/>
      <c r="F6" s="1400"/>
      <c r="G6" s="1400" t="s">
        <v>113</v>
      </c>
      <c r="H6" s="1400"/>
      <c r="I6" s="1400"/>
      <c r="J6" s="1407" t="s">
        <v>22</v>
      </c>
      <c r="K6" s="1408"/>
      <c r="L6" s="1399"/>
      <c r="M6" s="1407" t="s">
        <v>114</v>
      </c>
      <c r="N6" s="1408"/>
      <c r="O6" s="1408"/>
      <c r="P6" s="31"/>
    </row>
    <row r="7" spans="1:16" ht="17.25">
      <c r="A7" s="1401" t="s">
        <v>145</v>
      </c>
      <c r="B7" s="1402"/>
      <c r="C7" s="1402"/>
      <c r="D7" s="1402"/>
      <c r="E7" s="1402"/>
      <c r="F7" s="1402"/>
      <c r="G7" s="1382">
        <f>C14</f>
        <v>63094</v>
      </c>
      <c r="H7" s="1383"/>
      <c r="I7" s="1406"/>
      <c r="J7" s="1382">
        <f>F18</f>
        <v>45957</v>
      </c>
      <c r="K7" s="1383"/>
      <c r="L7" s="1406"/>
      <c r="M7" s="1382">
        <f>F22</f>
        <v>202</v>
      </c>
      <c r="N7" s="1383"/>
      <c r="O7" s="1383"/>
      <c r="P7" s="31"/>
    </row>
    <row r="8" spans="1:16" ht="18" thickBot="1">
      <c r="A8" s="1403" t="s">
        <v>146</v>
      </c>
      <c r="B8" s="1404"/>
      <c r="C8" s="1404"/>
      <c r="D8" s="1404"/>
      <c r="E8" s="1404"/>
      <c r="F8" s="1404"/>
      <c r="G8" s="1384">
        <f>E41</f>
        <v>12474</v>
      </c>
      <c r="H8" s="1385"/>
      <c r="I8" s="1405"/>
      <c r="J8" s="1384">
        <f>E45</f>
        <v>39257</v>
      </c>
      <c r="K8" s="1385"/>
      <c r="L8" s="1405"/>
      <c r="M8" s="1384">
        <f>F49</f>
        <v>61</v>
      </c>
      <c r="N8" s="1385"/>
      <c r="O8" s="1385"/>
      <c r="P8" s="31"/>
    </row>
    <row r="9" spans="1:16" s="36" customFormat="1" ht="27" thickTop="1">
      <c r="A9" s="541"/>
      <c r="B9" s="541"/>
      <c r="C9" s="541"/>
      <c r="D9" s="541"/>
      <c r="E9" s="541"/>
      <c r="F9" s="541"/>
      <c r="G9" s="541"/>
      <c r="H9" s="541"/>
      <c r="I9" s="541"/>
      <c r="J9" s="541"/>
      <c r="K9" s="541"/>
      <c r="L9" s="541"/>
      <c r="M9" s="541"/>
      <c r="N9" s="541"/>
      <c r="O9" s="541"/>
      <c r="P9" s="37"/>
    </row>
    <row r="10" spans="1:16" s="38" customFormat="1" ht="19.5">
      <c r="A10" s="542" t="s">
        <v>115</v>
      </c>
      <c r="B10" s="543"/>
      <c r="C10" s="543"/>
      <c r="D10" s="543"/>
      <c r="E10" s="543"/>
      <c r="F10" s="543"/>
      <c r="G10" s="543"/>
      <c r="H10" s="543"/>
      <c r="I10" s="543"/>
      <c r="J10" s="543"/>
      <c r="K10" s="543"/>
      <c r="L10" s="543"/>
      <c r="M10" s="543"/>
      <c r="N10" s="543"/>
      <c r="O10" s="543"/>
      <c r="P10" s="39"/>
    </row>
    <row r="11" spans="1:16" ht="20.25" thickBot="1">
      <c r="A11" s="546" t="s">
        <v>116</v>
      </c>
      <c r="B11" s="544"/>
      <c r="C11" s="544"/>
      <c r="D11" s="544"/>
      <c r="E11" s="544"/>
      <c r="F11" s="544"/>
      <c r="G11" s="544"/>
      <c r="H11" s="544"/>
      <c r="I11" s="544"/>
      <c r="J11" s="544"/>
      <c r="K11" s="544"/>
      <c r="L11" s="544"/>
      <c r="M11" s="544"/>
      <c r="N11" s="544"/>
      <c r="O11" s="544"/>
      <c r="P11" s="39"/>
    </row>
    <row r="12" spans="1:16" ht="19.5" customHeight="1">
      <c r="A12" s="1410" t="s">
        <v>112</v>
      </c>
      <c r="B12" s="1411"/>
      <c r="C12" s="1414" t="s">
        <v>1</v>
      </c>
      <c r="D12" s="1411"/>
      <c r="E12" s="1379" t="s">
        <v>117</v>
      </c>
      <c r="F12" s="1395"/>
      <c r="G12" s="1395"/>
      <c r="H12" s="1395"/>
      <c r="I12" s="1395"/>
      <c r="J12" s="1395"/>
      <c r="K12" s="1395"/>
      <c r="L12" s="1395"/>
      <c r="M12" s="1391"/>
      <c r="N12" s="1418" t="s">
        <v>45</v>
      </c>
      <c r="O12" s="1416" t="s">
        <v>169</v>
      </c>
      <c r="P12" s="39"/>
    </row>
    <row r="13" spans="1:16" ht="19.5">
      <c r="A13" s="1412"/>
      <c r="B13" s="1413"/>
      <c r="C13" s="1415"/>
      <c r="D13" s="1413"/>
      <c r="E13" s="547" t="s">
        <v>118</v>
      </c>
      <c r="F13" s="547" t="s">
        <v>3</v>
      </c>
      <c r="G13" s="547" t="s">
        <v>4</v>
      </c>
      <c r="H13" s="547" t="s">
        <v>5</v>
      </c>
      <c r="I13" s="547" t="s">
        <v>6</v>
      </c>
      <c r="J13" s="547" t="s">
        <v>7</v>
      </c>
      <c r="K13" s="547" t="s">
        <v>8</v>
      </c>
      <c r="L13" s="1397" t="s">
        <v>9</v>
      </c>
      <c r="M13" s="1396"/>
      <c r="N13" s="1419"/>
      <c r="O13" s="1417"/>
      <c r="P13" s="39"/>
    </row>
    <row r="14" spans="1:16" s="38" customFormat="1" ht="20.25" thickBot="1">
      <c r="A14" s="1393" t="s">
        <v>119</v>
      </c>
      <c r="B14" s="1388"/>
      <c r="C14" s="1374">
        <f>SUM(E14,N14)</f>
        <v>63094</v>
      </c>
      <c r="D14" s="1375"/>
      <c r="E14" s="1208">
        <f>SUM(F14:M14)</f>
        <v>32707</v>
      </c>
      <c r="F14" s="1218">
        <v>23</v>
      </c>
      <c r="G14" s="1218">
        <v>87</v>
      </c>
      <c r="H14" s="1218">
        <v>1449</v>
      </c>
      <c r="I14" s="1043">
        <v>189</v>
      </c>
      <c r="J14" s="1043">
        <v>2998</v>
      </c>
      <c r="K14" s="1043">
        <v>19753</v>
      </c>
      <c r="L14" s="1215">
        <v>8208</v>
      </c>
      <c r="M14" s="1216"/>
      <c r="N14" s="1043">
        <v>30387</v>
      </c>
      <c r="O14" s="1044">
        <v>0</v>
      </c>
      <c r="P14" s="39"/>
    </row>
    <row r="15" spans="1:16" ht="17.25">
      <c r="A15" s="548"/>
      <c r="B15" s="548"/>
      <c r="C15" s="548"/>
      <c r="D15" s="548"/>
      <c r="E15" s="548"/>
      <c r="F15" s="548"/>
      <c r="G15" s="548"/>
      <c r="H15" s="548"/>
      <c r="I15" s="548"/>
      <c r="J15" s="548"/>
      <c r="K15" s="548"/>
      <c r="L15" s="548"/>
      <c r="M15" s="548"/>
      <c r="N15" s="548"/>
      <c r="O15" s="548"/>
      <c r="P15" s="31"/>
    </row>
    <row r="16" spans="1:16" ht="18" thickBot="1">
      <c r="A16" s="549" t="s">
        <v>120</v>
      </c>
      <c r="B16" s="550"/>
      <c r="C16" s="550"/>
      <c r="D16" s="550"/>
      <c r="E16" s="550"/>
      <c r="F16" s="550"/>
      <c r="G16" s="550"/>
      <c r="H16" s="550"/>
      <c r="I16" s="550"/>
      <c r="J16" s="550"/>
      <c r="K16" s="550"/>
      <c r="L16" s="550"/>
      <c r="M16" s="550"/>
      <c r="N16" s="550"/>
      <c r="O16" s="550"/>
      <c r="P16" s="31"/>
    </row>
    <row r="17" spans="1:16" s="38" customFormat="1" ht="19.5">
      <c r="A17" s="1395" t="s">
        <v>112</v>
      </c>
      <c r="B17" s="1395"/>
      <c r="C17" s="1395"/>
      <c r="D17" s="1395"/>
      <c r="E17" s="1391"/>
      <c r="F17" s="1379" t="s">
        <v>1</v>
      </c>
      <c r="G17" s="1391"/>
      <c r="H17" s="1379" t="s">
        <v>121</v>
      </c>
      <c r="I17" s="1391"/>
      <c r="J17" s="1379" t="s">
        <v>122</v>
      </c>
      <c r="K17" s="1391"/>
      <c r="L17" s="1377" t="s">
        <v>167</v>
      </c>
      <c r="M17" s="1377"/>
      <c r="N17" s="1377"/>
      <c r="O17" s="550"/>
      <c r="P17" s="39"/>
    </row>
    <row r="18" spans="1:16" ht="18" thickBot="1">
      <c r="A18" s="1393" t="s">
        <v>119</v>
      </c>
      <c r="B18" s="1393"/>
      <c r="C18" s="1393"/>
      <c r="D18" s="1393"/>
      <c r="E18" s="1388"/>
      <c r="F18" s="1374">
        <f>SUM(H18:N18)</f>
        <v>45957</v>
      </c>
      <c r="G18" s="1375"/>
      <c r="H18" s="1372">
        <v>9241</v>
      </c>
      <c r="I18" s="1376"/>
      <c r="J18" s="1372">
        <v>8460</v>
      </c>
      <c r="K18" s="1376"/>
      <c r="L18" s="1371">
        <v>28256</v>
      </c>
      <c r="M18" s="1371"/>
      <c r="N18" s="1371"/>
      <c r="O18" s="550"/>
      <c r="P18" s="31"/>
    </row>
    <row r="19" spans="1:16" ht="17.25">
      <c r="A19" s="548"/>
      <c r="B19" s="548"/>
      <c r="C19" s="548"/>
      <c r="D19" s="548"/>
      <c r="E19" s="548"/>
      <c r="F19" s="548"/>
      <c r="G19" s="548"/>
      <c r="H19" s="548"/>
      <c r="I19" s="548"/>
      <c r="J19" s="548"/>
      <c r="K19" s="548"/>
      <c r="L19" s="548"/>
      <c r="M19" s="548"/>
      <c r="N19" s="548"/>
      <c r="O19" s="550"/>
      <c r="P19" s="31"/>
    </row>
    <row r="20" spans="1:16" ht="18" thickBot="1">
      <c r="A20" s="549" t="s">
        <v>124</v>
      </c>
      <c r="B20" s="550"/>
      <c r="C20" s="550"/>
      <c r="D20" s="550"/>
      <c r="E20" s="550"/>
      <c r="F20" s="550"/>
      <c r="G20" s="550"/>
      <c r="H20" s="550"/>
      <c r="I20" s="550"/>
      <c r="J20" s="550"/>
      <c r="K20" s="550"/>
      <c r="L20" s="550"/>
      <c r="M20" s="550"/>
      <c r="N20" s="550"/>
      <c r="O20" s="550"/>
      <c r="P20" s="31"/>
    </row>
    <row r="21" spans="1:16" s="36" customFormat="1" ht="26.25">
      <c r="A21" s="1395" t="s">
        <v>112</v>
      </c>
      <c r="B21" s="1395"/>
      <c r="C21" s="1395"/>
      <c r="D21" s="1395"/>
      <c r="E21" s="1391"/>
      <c r="F21" s="1379" t="s">
        <v>1</v>
      </c>
      <c r="G21" s="1391"/>
      <c r="H21" s="1379" t="s">
        <v>121</v>
      </c>
      <c r="I21" s="1391"/>
      <c r="J21" s="1379" t="s">
        <v>122</v>
      </c>
      <c r="K21" s="1391"/>
      <c r="L21" s="1377" t="s">
        <v>123</v>
      </c>
      <c r="M21" s="1377"/>
      <c r="N21" s="1377"/>
      <c r="O21" s="550"/>
      <c r="P21" s="37"/>
    </row>
    <row r="22" spans="1:16" s="38" customFormat="1" ht="20.25" thickBot="1">
      <c r="A22" s="1393" t="s">
        <v>119</v>
      </c>
      <c r="B22" s="1393"/>
      <c r="C22" s="1393"/>
      <c r="D22" s="1393"/>
      <c r="E22" s="1388"/>
      <c r="F22" s="1374">
        <f>SUM(H22:N22)</f>
        <v>202</v>
      </c>
      <c r="G22" s="1375"/>
      <c r="H22" s="1372">
        <v>13</v>
      </c>
      <c r="I22" s="1376"/>
      <c r="J22" s="1372">
        <v>54</v>
      </c>
      <c r="K22" s="1376"/>
      <c r="L22" s="1371">
        <v>135</v>
      </c>
      <c r="M22" s="1371"/>
      <c r="N22" s="1371"/>
      <c r="O22" s="550"/>
      <c r="P22" s="39"/>
    </row>
    <row r="23" spans="1:16" ht="17.25">
      <c r="A23" s="548"/>
      <c r="B23" s="548"/>
      <c r="C23" s="548"/>
      <c r="D23" s="548"/>
      <c r="E23" s="548"/>
      <c r="F23" s="548"/>
      <c r="G23" s="548"/>
      <c r="H23" s="548"/>
      <c r="I23" s="548"/>
      <c r="J23" s="548"/>
      <c r="K23" s="548"/>
      <c r="L23" s="548"/>
      <c r="M23" s="548"/>
      <c r="N23" s="548"/>
      <c r="O23" s="548"/>
      <c r="P23" s="31"/>
    </row>
    <row r="24" spans="1:16" ht="17.25">
      <c r="A24" s="551" t="s">
        <v>147</v>
      </c>
      <c r="B24" s="552"/>
      <c r="C24" s="552"/>
      <c r="D24" s="552"/>
      <c r="E24" s="552"/>
      <c r="F24" s="552"/>
      <c r="G24" s="552"/>
      <c r="H24" s="552"/>
      <c r="I24" s="552"/>
      <c r="J24" s="552"/>
      <c r="K24" s="552"/>
      <c r="L24" s="552"/>
      <c r="M24" s="552"/>
      <c r="N24" s="552"/>
      <c r="O24" s="552"/>
      <c r="P24" s="31"/>
    </row>
    <row r="25" spans="1:16" ht="18" thickBot="1">
      <c r="A25" s="549" t="s">
        <v>125</v>
      </c>
      <c r="B25" s="550"/>
      <c r="C25" s="550"/>
      <c r="D25" s="550"/>
      <c r="E25" s="550"/>
      <c r="F25" s="550"/>
      <c r="G25" s="550"/>
      <c r="H25" s="550"/>
      <c r="I25" s="550"/>
      <c r="J25" s="550"/>
      <c r="K25" s="550"/>
      <c r="L25" s="550"/>
      <c r="M25" s="550"/>
      <c r="N25" s="550"/>
      <c r="O25" s="550"/>
      <c r="P25" s="31"/>
    </row>
    <row r="26" spans="1:16" s="38" customFormat="1" ht="19.5">
      <c r="A26" s="1391" t="s">
        <v>112</v>
      </c>
      <c r="B26" s="1377"/>
      <c r="C26" s="1377" t="s">
        <v>1</v>
      </c>
      <c r="D26" s="1377"/>
      <c r="E26" s="1379" t="s">
        <v>117</v>
      </c>
      <c r="F26" s="1395"/>
      <c r="G26" s="1395"/>
      <c r="H26" s="1395"/>
      <c r="I26" s="1395"/>
      <c r="J26" s="1395"/>
      <c r="K26" s="1395"/>
      <c r="L26" s="1395"/>
      <c r="M26" s="1391"/>
      <c r="N26" s="1377" t="s">
        <v>45</v>
      </c>
      <c r="O26" s="1379"/>
      <c r="P26" s="39"/>
    </row>
    <row r="27" spans="1:16" s="41" customFormat="1" ht="27">
      <c r="A27" s="1396"/>
      <c r="B27" s="1394"/>
      <c r="C27" s="1394"/>
      <c r="D27" s="1394"/>
      <c r="E27" s="547" t="s">
        <v>118</v>
      </c>
      <c r="F27" s="553" t="s">
        <v>126</v>
      </c>
      <c r="G27" s="553" t="s">
        <v>127</v>
      </c>
      <c r="H27" s="553" t="s">
        <v>128</v>
      </c>
      <c r="I27" s="547" t="s">
        <v>29</v>
      </c>
      <c r="J27" s="547" t="s">
        <v>42</v>
      </c>
      <c r="K27" s="547" t="s">
        <v>33</v>
      </c>
      <c r="L27" s="547" t="s">
        <v>34</v>
      </c>
      <c r="M27" s="547" t="s">
        <v>44</v>
      </c>
      <c r="N27" s="1394"/>
      <c r="O27" s="1397"/>
      <c r="P27" s="40"/>
    </row>
    <row r="28" spans="1:16" ht="18" thickBot="1">
      <c r="A28" s="1393" t="s">
        <v>119</v>
      </c>
      <c r="B28" s="1388"/>
      <c r="C28" s="1374">
        <f>SUM(E28,N28)</f>
        <v>63094</v>
      </c>
      <c r="D28" s="1375"/>
      <c r="E28" s="1042">
        <f>SUM(F28:M28)</f>
        <v>32707</v>
      </c>
      <c r="F28" s="1218">
        <v>296</v>
      </c>
      <c r="G28" s="1043">
        <v>88</v>
      </c>
      <c r="H28" s="1043">
        <v>2381</v>
      </c>
      <c r="I28" s="1043">
        <v>993</v>
      </c>
      <c r="J28" s="1043">
        <v>251</v>
      </c>
      <c r="K28" s="1043">
        <v>84</v>
      </c>
      <c r="L28" s="1043">
        <v>6392</v>
      </c>
      <c r="M28" s="1043">
        <v>22222</v>
      </c>
      <c r="N28" s="1372">
        <v>30387</v>
      </c>
      <c r="O28" s="1378"/>
      <c r="P28" s="31"/>
    </row>
    <row r="29" spans="1:16" s="38" customFormat="1" ht="19.5">
      <c r="A29" s="554"/>
      <c r="B29" s="554"/>
      <c r="C29" s="554"/>
      <c r="D29" s="554"/>
      <c r="E29" s="548"/>
      <c r="F29" s="548"/>
      <c r="G29" s="548"/>
      <c r="H29" s="548"/>
      <c r="I29" s="548"/>
      <c r="J29" s="548"/>
      <c r="K29" s="548"/>
      <c r="L29" s="548"/>
      <c r="M29" s="548"/>
      <c r="N29" s="548"/>
      <c r="O29" s="548"/>
      <c r="P29" s="39"/>
    </row>
    <row r="30" spans="1:16" ht="18" thickBot="1">
      <c r="A30" s="549" t="s">
        <v>170</v>
      </c>
      <c r="B30" s="550"/>
      <c r="C30" s="550"/>
      <c r="D30" s="550"/>
      <c r="E30" s="550"/>
      <c r="F30" s="550"/>
      <c r="G30" s="550"/>
      <c r="H30" s="550"/>
      <c r="I30" s="550"/>
      <c r="J30" s="550"/>
      <c r="K30" s="550"/>
      <c r="L30" s="550"/>
      <c r="M30" s="550"/>
      <c r="N30" s="550"/>
      <c r="O30" s="550"/>
      <c r="P30" s="31"/>
    </row>
    <row r="31" spans="1:16" ht="27">
      <c r="A31" s="1391" t="s">
        <v>112</v>
      </c>
      <c r="B31" s="1377"/>
      <c r="C31" s="1377"/>
      <c r="D31" s="1377" t="s">
        <v>1</v>
      </c>
      <c r="E31" s="1377"/>
      <c r="F31" s="1214" t="s">
        <v>129</v>
      </c>
      <c r="G31" s="1214" t="s">
        <v>130</v>
      </c>
      <c r="H31" s="1214" t="s">
        <v>131</v>
      </c>
      <c r="I31" s="1213" t="s">
        <v>57</v>
      </c>
      <c r="J31" s="1213" t="s">
        <v>132</v>
      </c>
      <c r="K31" s="1213" t="s">
        <v>58</v>
      </c>
      <c r="L31" s="1213" t="s">
        <v>60</v>
      </c>
      <c r="M31" s="1213" t="s">
        <v>44</v>
      </c>
      <c r="N31" s="1377" t="s">
        <v>66</v>
      </c>
      <c r="O31" s="1379"/>
      <c r="P31" s="31"/>
    </row>
    <row r="32" spans="1:16" ht="18" thickBot="1">
      <c r="A32" s="1388" t="s">
        <v>119</v>
      </c>
      <c r="B32" s="1389"/>
      <c r="C32" s="1389"/>
      <c r="D32" s="1373">
        <f>SUM(F32:M32)</f>
        <v>45957</v>
      </c>
      <c r="E32" s="1373"/>
      <c r="F32" s="1218">
        <v>1404</v>
      </c>
      <c r="G32" s="1218">
        <v>1913</v>
      </c>
      <c r="H32" s="1043">
        <v>731</v>
      </c>
      <c r="I32" s="1043">
        <v>15542</v>
      </c>
      <c r="J32" s="1043">
        <v>1164</v>
      </c>
      <c r="K32" s="1043">
        <v>11784</v>
      </c>
      <c r="L32" s="1043">
        <v>362</v>
      </c>
      <c r="M32" s="1043">
        <v>13057</v>
      </c>
      <c r="N32" s="1372">
        <v>0</v>
      </c>
      <c r="O32" s="1378"/>
      <c r="P32" s="31"/>
    </row>
    <row r="33" spans="1:24" s="36" customFormat="1" ht="26.25">
      <c r="A33" s="554"/>
      <c r="B33" s="554"/>
      <c r="C33" s="554"/>
      <c r="D33" s="554"/>
      <c r="E33" s="554"/>
      <c r="F33" s="548"/>
      <c r="G33" s="548"/>
      <c r="H33" s="548"/>
      <c r="I33" s="548"/>
      <c r="J33" s="548"/>
      <c r="K33" s="548"/>
      <c r="L33" s="548"/>
      <c r="M33" s="548"/>
      <c r="N33" s="548"/>
      <c r="O33" s="548"/>
      <c r="P33" s="37"/>
    </row>
    <row r="34" spans="1:24" s="38" customFormat="1" ht="20.25" thickBot="1">
      <c r="A34" s="549" t="s">
        <v>171</v>
      </c>
      <c r="B34" s="550"/>
      <c r="C34" s="550"/>
      <c r="D34" s="550"/>
      <c r="E34" s="550"/>
      <c r="F34" s="550"/>
      <c r="G34" s="550"/>
      <c r="H34" s="550"/>
      <c r="I34" s="550"/>
      <c r="J34" s="550"/>
      <c r="K34" s="550"/>
      <c r="L34" s="550"/>
      <c r="M34" s="550"/>
      <c r="N34" s="550"/>
      <c r="O34" s="550"/>
      <c r="P34" s="39"/>
    </row>
    <row r="35" spans="1:24" ht="37.5" customHeight="1">
      <c r="A35" s="1391" t="s">
        <v>112</v>
      </c>
      <c r="B35" s="1377"/>
      <c r="C35" s="1377"/>
      <c r="D35" s="1377"/>
      <c r="E35" s="1377"/>
      <c r="F35" s="1377" t="s">
        <v>1</v>
      </c>
      <c r="G35" s="1377"/>
      <c r="H35" s="1392" t="s">
        <v>133</v>
      </c>
      <c r="I35" s="1377"/>
      <c r="J35" s="1392" t="s">
        <v>134</v>
      </c>
      <c r="K35" s="1377"/>
      <c r="L35" s="1392" t="s">
        <v>135</v>
      </c>
      <c r="M35" s="1377"/>
      <c r="N35" s="1377" t="s">
        <v>66</v>
      </c>
      <c r="O35" s="1379"/>
      <c r="P35" s="31"/>
    </row>
    <row r="36" spans="1:24" ht="18" thickBot="1">
      <c r="A36" s="1388" t="s">
        <v>119</v>
      </c>
      <c r="B36" s="1389"/>
      <c r="C36" s="1389"/>
      <c r="D36" s="1389"/>
      <c r="E36" s="1389"/>
      <c r="F36" s="1373">
        <f>SUM(H36:M36)</f>
        <v>202</v>
      </c>
      <c r="G36" s="1373"/>
      <c r="H36" s="1371">
        <v>19</v>
      </c>
      <c r="I36" s="1371"/>
      <c r="J36" s="1371">
        <v>11</v>
      </c>
      <c r="K36" s="1371"/>
      <c r="L36" s="1371">
        <v>172</v>
      </c>
      <c r="M36" s="1371"/>
      <c r="N36" s="1371">
        <v>0</v>
      </c>
      <c r="O36" s="1372"/>
      <c r="P36" s="31"/>
    </row>
    <row r="37" spans="1:24" s="38" customFormat="1" ht="19.5">
      <c r="A37" s="548"/>
      <c r="B37" s="548"/>
      <c r="C37" s="548"/>
      <c r="D37" s="548"/>
      <c r="E37" s="548"/>
      <c r="F37" s="548"/>
      <c r="G37" s="548"/>
      <c r="H37" s="548"/>
      <c r="I37" s="548"/>
      <c r="J37" s="548"/>
      <c r="K37" s="548"/>
      <c r="L37" s="548"/>
      <c r="M37" s="548"/>
      <c r="N37" s="548"/>
      <c r="O37" s="548"/>
      <c r="P37" s="39"/>
    </row>
    <row r="38" spans="1:24" s="41" customFormat="1" ht="17.25">
      <c r="A38" s="551" t="s">
        <v>136</v>
      </c>
      <c r="B38" s="552"/>
      <c r="C38" s="552"/>
      <c r="D38" s="552"/>
      <c r="E38" s="552"/>
      <c r="F38" s="552"/>
      <c r="G38" s="552"/>
      <c r="H38" s="552"/>
      <c r="I38" s="552"/>
      <c r="J38" s="552"/>
      <c r="K38" s="552"/>
      <c r="L38" s="552"/>
      <c r="M38" s="552"/>
      <c r="N38" s="552"/>
      <c r="O38" s="552"/>
      <c r="P38" s="40"/>
    </row>
    <row r="39" spans="1:24" ht="18" thickBot="1">
      <c r="A39" s="549" t="s">
        <v>137</v>
      </c>
      <c r="B39" s="550"/>
      <c r="C39" s="550"/>
      <c r="D39" s="550"/>
      <c r="E39" s="550"/>
      <c r="F39" s="550"/>
      <c r="G39" s="550"/>
      <c r="H39" s="550"/>
      <c r="I39" s="550"/>
      <c r="J39" s="550"/>
      <c r="K39" s="550"/>
      <c r="L39" s="550"/>
      <c r="M39" s="550"/>
      <c r="N39" s="550"/>
      <c r="O39" s="550"/>
      <c r="P39" s="31"/>
      <c r="X39" s="41"/>
    </row>
    <row r="40" spans="1:24" s="38" customFormat="1" ht="27">
      <c r="A40" s="1390" t="s">
        <v>112</v>
      </c>
      <c r="B40" s="1380"/>
      <c r="C40" s="1380"/>
      <c r="D40" s="1380"/>
      <c r="E40" s="555" t="s">
        <v>1</v>
      </c>
      <c r="F40" s="556" t="s">
        <v>126</v>
      </c>
      <c r="G40" s="556" t="s">
        <v>127</v>
      </c>
      <c r="H40" s="556" t="s">
        <v>128</v>
      </c>
      <c r="I40" s="555" t="s">
        <v>29</v>
      </c>
      <c r="J40" s="555" t="s">
        <v>42</v>
      </c>
      <c r="K40" s="555" t="s">
        <v>33</v>
      </c>
      <c r="L40" s="555" t="s">
        <v>34</v>
      </c>
      <c r="M40" s="555" t="s">
        <v>44</v>
      </c>
      <c r="N40" s="1380" t="s">
        <v>66</v>
      </c>
      <c r="O40" s="1381"/>
      <c r="P40" s="39"/>
    </row>
    <row r="41" spans="1:24" ht="18" thickBot="1">
      <c r="A41" s="1388" t="s">
        <v>138</v>
      </c>
      <c r="B41" s="1389"/>
      <c r="C41" s="1389"/>
      <c r="D41" s="1389"/>
      <c r="E41" s="1046">
        <f>SUM(F41:M41)</f>
        <v>12474</v>
      </c>
      <c r="F41" s="1043">
        <v>50</v>
      </c>
      <c r="G41" s="1043">
        <v>16</v>
      </c>
      <c r="H41" s="1043">
        <v>367</v>
      </c>
      <c r="I41" s="1043">
        <v>162</v>
      </c>
      <c r="J41" s="1043">
        <v>49</v>
      </c>
      <c r="K41" s="1043">
        <v>38</v>
      </c>
      <c r="L41" s="1043">
        <v>7167</v>
      </c>
      <c r="M41" s="1043">
        <v>4625</v>
      </c>
      <c r="N41" s="1372">
        <v>0</v>
      </c>
      <c r="O41" s="1378"/>
      <c r="P41" s="31"/>
    </row>
    <row r="42" spans="1:24" ht="17.25">
      <c r="A42" s="548"/>
      <c r="B42" s="548"/>
      <c r="C42" s="548"/>
      <c r="D42" s="548"/>
      <c r="E42" s="548"/>
      <c r="F42" s="548"/>
      <c r="G42" s="548"/>
      <c r="H42" s="548"/>
      <c r="I42" s="548"/>
      <c r="J42" s="548"/>
      <c r="K42" s="548"/>
      <c r="L42" s="548"/>
      <c r="M42" s="548"/>
      <c r="N42" s="548"/>
      <c r="O42" s="548"/>
      <c r="P42" s="31"/>
    </row>
    <row r="43" spans="1:24" ht="18" thickBot="1">
      <c r="A43" s="549" t="s">
        <v>139</v>
      </c>
      <c r="B43" s="550"/>
      <c r="C43" s="550"/>
      <c r="D43" s="550"/>
      <c r="E43" s="550"/>
      <c r="F43" s="550"/>
      <c r="G43" s="550"/>
      <c r="H43" s="550"/>
      <c r="I43" s="550"/>
      <c r="J43" s="550"/>
      <c r="K43" s="550"/>
      <c r="L43" s="550"/>
      <c r="M43" s="550"/>
      <c r="N43" s="550"/>
      <c r="O43" s="550"/>
    </row>
    <row r="44" spans="1:24" ht="27">
      <c r="A44" s="1390" t="s">
        <v>69</v>
      </c>
      <c r="B44" s="1380"/>
      <c r="C44" s="1380"/>
      <c r="D44" s="1380"/>
      <c r="E44" s="555" t="s">
        <v>1</v>
      </c>
      <c r="F44" s="556" t="s">
        <v>129</v>
      </c>
      <c r="G44" s="556" t="s">
        <v>130</v>
      </c>
      <c r="H44" s="556" t="s">
        <v>131</v>
      </c>
      <c r="I44" s="555" t="s">
        <v>57</v>
      </c>
      <c r="J44" s="555" t="s">
        <v>132</v>
      </c>
      <c r="K44" s="555" t="s">
        <v>58</v>
      </c>
      <c r="L44" s="555" t="s">
        <v>60</v>
      </c>
      <c r="M44" s="555" t="s">
        <v>44</v>
      </c>
      <c r="N44" s="1380" t="s">
        <v>66</v>
      </c>
      <c r="O44" s="1381"/>
    </row>
    <row r="45" spans="1:24" ht="18" thickBot="1">
      <c r="A45" s="1388" t="s">
        <v>138</v>
      </c>
      <c r="B45" s="1389"/>
      <c r="C45" s="1389"/>
      <c r="D45" s="1389"/>
      <c r="E45" s="1046">
        <f>SUM(F45:M45)</f>
        <v>39257</v>
      </c>
      <c r="F45" s="1043">
        <v>2222</v>
      </c>
      <c r="G45" s="1043">
        <v>326</v>
      </c>
      <c r="H45" s="1043">
        <v>66</v>
      </c>
      <c r="I45" s="1043">
        <v>69</v>
      </c>
      <c r="J45" s="1043">
        <v>425</v>
      </c>
      <c r="K45" s="1043">
        <v>20391</v>
      </c>
      <c r="L45" s="1043">
        <v>5846</v>
      </c>
      <c r="M45" s="1043">
        <v>9912</v>
      </c>
      <c r="N45" s="1372">
        <v>0</v>
      </c>
      <c r="O45" s="1378"/>
    </row>
    <row r="46" spans="1:24" ht="17.25">
      <c r="A46" s="548"/>
      <c r="B46" s="548"/>
      <c r="C46" s="548"/>
      <c r="D46" s="548"/>
      <c r="E46" s="548"/>
      <c r="F46" s="548"/>
      <c r="G46" s="548"/>
      <c r="H46" s="548"/>
      <c r="I46" s="548"/>
      <c r="J46" s="548"/>
      <c r="K46" s="548"/>
      <c r="L46" s="548"/>
      <c r="M46" s="548"/>
      <c r="N46" s="548"/>
      <c r="O46" s="548"/>
    </row>
    <row r="47" spans="1:24" ht="18" thickBot="1">
      <c r="A47" s="549" t="s">
        <v>140</v>
      </c>
      <c r="B47" s="550"/>
      <c r="C47" s="550"/>
      <c r="D47" s="550"/>
      <c r="E47" s="550"/>
      <c r="F47" s="550"/>
      <c r="G47" s="550"/>
      <c r="H47" s="550"/>
      <c r="I47" s="550"/>
      <c r="J47" s="550"/>
      <c r="K47" s="550"/>
      <c r="L47" s="550"/>
      <c r="M47" s="550"/>
      <c r="N47" s="550"/>
      <c r="O47" s="550"/>
    </row>
    <row r="48" spans="1:24" ht="39.75" customHeight="1">
      <c r="A48" s="1390" t="s">
        <v>112</v>
      </c>
      <c r="B48" s="1380"/>
      <c r="C48" s="1380"/>
      <c r="D48" s="1380"/>
      <c r="E48" s="1380"/>
      <c r="F48" s="1380" t="s">
        <v>1</v>
      </c>
      <c r="G48" s="1380"/>
      <c r="H48" s="1386" t="s">
        <v>133</v>
      </c>
      <c r="I48" s="1380"/>
      <c r="J48" s="1386" t="s">
        <v>134</v>
      </c>
      <c r="K48" s="1380"/>
      <c r="L48" s="1386" t="s">
        <v>135</v>
      </c>
      <c r="M48" s="1380"/>
      <c r="N48" s="1380" t="s">
        <v>66</v>
      </c>
      <c r="O48" s="1381"/>
    </row>
    <row r="49" spans="1:15" ht="18" thickBot="1">
      <c r="A49" s="1388" t="s">
        <v>138</v>
      </c>
      <c r="B49" s="1389"/>
      <c r="C49" s="1389"/>
      <c r="D49" s="1389"/>
      <c r="E49" s="1389"/>
      <c r="F49" s="1373">
        <f>SUM(H49:O49)</f>
        <v>61</v>
      </c>
      <c r="G49" s="1373"/>
      <c r="H49" s="1371">
        <v>14</v>
      </c>
      <c r="I49" s="1371"/>
      <c r="J49" s="1371">
        <v>3</v>
      </c>
      <c r="K49" s="1371"/>
      <c r="L49" s="1371">
        <v>44</v>
      </c>
      <c r="M49" s="1371"/>
      <c r="N49" s="1371">
        <v>0</v>
      </c>
      <c r="O49" s="1372"/>
    </row>
    <row r="50" spans="1:15" ht="17.25">
      <c r="A50" s="541"/>
      <c r="B50" s="541"/>
      <c r="C50" s="541"/>
      <c r="D50" s="541"/>
      <c r="E50" s="541"/>
      <c r="F50" s="1045"/>
      <c r="G50" s="1045"/>
      <c r="H50" s="1045"/>
      <c r="I50" s="1045"/>
      <c r="J50" s="1045"/>
      <c r="K50" s="1045"/>
      <c r="L50" s="1045"/>
      <c r="M50" s="1045"/>
      <c r="N50" s="1045"/>
      <c r="O50" s="1045"/>
    </row>
    <row r="51" spans="1:15" ht="17.25">
      <c r="A51" s="1387" t="s">
        <v>141</v>
      </c>
      <c r="B51" s="1387"/>
      <c r="C51" s="1387"/>
      <c r="D51" s="1387"/>
      <c r="E51" s="1387"/>
      <c r="F51" s="1387"/>
      <c r="G51" s="1387"/>
      <c r="H51" s="1387"/>
      <c r="I51" s="1387"/>
      <c r="J51" s="1387"/>
      <c r="K51" s="1387"/>
      <c r="L51" s="1387"/>
      <c r="M51" s="1387"/>
      <c r="N51" s="1387"/>
      <c r="O51" s="1387"/>
    </row>
    <row r="52" spans="1:15" ht="17.25">
      <c r="A52" s="1387" t="s">
        <v>142</v>
      </c>
      <c r="B52" s="1387"/>
      <c r="C52" s="1387"/>
      <c r="D52" s="1387"/>
      <c r="E52" s="1387"/>
      <c r="F52" s="1387"/>
      <c r="G52" s="1387"/>
      <c r="H52" s="1387"/>
      <c r="I52" s="1387"/>
      <c r="J52" s="1387"/>
      <c r="K52" s="1387"/>
      <c r="L52" s="1387"/>
      <c r="M52" s="1387"/>
      <c r="N52" s="1387"/>
      <c r="O52" s="1387"/>
    </row>
    <row r="53" spans="1:15" ht="17.25">
      <c r="A53" s="1387" t="s">
        <v>143</v>
      </c>
      <c r="B53" s="1387"/>
      <c r="C53" s="1387"/>
      <c r="D53" s="1387"/>
      <c r="E53" s="1387"/>
      <c r="F53" s="1387"/>
      <c r="G53" s="1387"/>
      <c r="H53" s="1387"/>
      <c r="I53" s="1387"/>
      <c r="J53" s="1387"/>
      <c r="K53" s="1387"/>
      <c r="L53" s="1387"/>
      <c r="M53" s="1387"/>
      <c r="N53" s="1387"/>
      <c r="O53" s="1387"/>
    </row>
    <row r="54" spans="1:15" ht="17.25">
      <c r="A54" s="1387" t="s">
        <v>144</v>
      </c>
      <c r="B54" s="1387"/>
      <c r="C54" s="1387"/>
      <c r="D54" s="1387"/>
      <c r="E54" s="1387"/>
      <c r="F54" s="1387"/>
      <c r="G54" s="1387"/>
      <c r="H54" s="1387"/>
      <c r="I54" s="1387"/>
      <c r="J54" s="1387"/>
      <c r="K54" s="1387"/>
      <c r="L54" s="1387"/>
      <c r="M54" s="1387"/>
      <c r="N54" s="1387"/>
      <c r="O54" s="1387"/>
    </row>
    <row r="55" spans="1:15" ht="17.25"/>
    <row r="56" spans="1:15" ht="17.25"/>
  </sheetData>
  <mergeCells count="91">
    <mergeCell ref="A14:B14"/>
    <mergeCell ref="A12:B13"/>
    <mergeCell ref="C12:D13"/>
    <mergeCell ref="A17:E17"/>
    <mergeCell ref="O12:O13"/>
    <mergeCell ref="N12:N13"/>
    <mergeCell ref="J17:K17"/>
    <mergeCell ref="F17:G17"/>
    <mergeCell ref="H17:I17"/>
    <mergeCell ref="E12:M12"/>
    <mergeCell ref="L13:M13"/>
    <mergeCell ref="C14:D14"/>
    <mergeCell ref="A2:O2"/>
    <mergeCell ref="A6:F6"/>
    <mergeCell ref="G6:I6"/>
    <mergeCell ref="A7:F7"/>
    <mergeCell ref="A8:F8"/>
    <mergeCell ref="J8:L8"/>
    <mergeCell ref="G7:I7"/>
    <mergeCell ref="J6:L6"/>
    <mergeCell ref="M6:O6"/>
    <mergeCell ref="A3:O3"/>
    <mergeCell ref="G8:I8"/>
    <mergeCell ref="J7:L7"/>
    <mergeCell ref="A28:B28"/>
    <mergeCell ref="C26:D27"/>
    <mergeCell ref="A21:E21"/>
    <mergeCell ref="C28:D28"/>
    <mergeCell ref="A18:E18"/>
    <mergeCell ref="A22:E22"/>
    <mergeCell ref="E26:M26"/>
    <mergeCell ref="L21:N21"/>
    <mergeCell ref="F21:G21"/>
    <mergeCell ref="H21:I21"/>
    <mergeCell ref="A26:B27"/>
    <mergeCell ref="N26:O27"/>
    <mergeCell ref="J21:K21"/>
    <mergeCell ref="L22:N22"/>
    <mergeCell ref="J22:K22"/>
    <mergeCell ref="H22:I22"/>
    <mergeCell ref="A44:D44"/>
    <mergeCell ref="D31:E31"/>
    <mergeCell ref="A32:C32"/>
    <mergeCell ref="A31:C31"/>
    <mergeCell ref="N40:O40"/>
    <mergeCell ref="L35:M35"/>
    <mergeCell ref="A36:E36"/>
    <mergeCell ref="J35:K35"/>
    <mergeCell ref="F35:G35"/>
    <mergeCell ref="A35:E35"/>
    <mergeCell ref="H35:I35"/>
    <mergeCell ref="N41:O41"/>
    <mergeCell ref="D32:E32"/>
    <mergeCell ref="J36:K36"/>
    <mergeCell ref="H36:I36"/>
    <mergeCell ref="F36:G36"/>
    <mergeCell ref="J48:K48"/>
    <mergeCell ref="F22:G22"/>
    <mergeCell ref="A54:O54"/>
    <mergeCell ref="A52:O52"/>
    <mergeCell ref="A51:O51"/>
    <mergeCell ref="A53:O53"/>
    <mergeCell ref="L48:M48"/>
    <mergeCell ref="F48:G48"/>
    <mergeCell ref="N48:O48"/>
    <mergeCell ref="N28:O28"/>
    <mergeCell ref="H48:I48"/>
    <mergeCell ref="A49:E49"/>
    <mergeCell ref="A45:D45"/>
    <mergeCell ref="A48:E48"/>
    <mergeCell ref="A40:D40"/>
    <mergeCell ref="A41:D41"/>
    <mergeCell ref="N45:O45"/>
    <mergeCell ref="N31:O31"/>
    <mergeCell ref="N35:O35"/>
    <mergeCell ref="N44:O44"/>
    <mergeCell ref="M7:O7"/>
    <mergeCell ref="M8:O8"/>
    <mergeCell ref="N32:O32"/>
    <mergeCell ref="N36:O36"/>
    <mergeCell ref="L36:M36"/>
    <mergeCell ref="F18:G18"/>
    <mergeCell ref="H18:I18"/>
    <mergeCell ref="J18:K18"/>
    <mergeCell ref="L18:N18"/>
    <mergeCell ref="L17:N17"/>
    <mergeCell ref="N49:O49"/>
    <mergeCell ref="L49:M49"/>
    <mergeCell ref="F49:G49"/>
    <mergeCell ref="H49:I49"/>
    <mergeCell ref="J49:K49"/>
  </mergeCells>
  <phoneticPr fontId="3" type="noConversion"/>
  <printOptions horizontalCentered="1"/>
  <pageMargins left="0.39370078740157483" right="0.39370078740157483" top="0.39370078740157483" bottom="0.23622047244094491" header="0.39370078740157483" footer="0.15748031496062992"/>
  <pageSetup paperSize="9" scale="62" fitToWidth="0" fitToHeight="0" orientation="portrait" r:id="rId1"/>
  <headerFooter alignWithMargins="0"/>
  <ignoredErrors>
    <ignoredError sqref="E14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23</vt:i4>
      </vt:variant>
      <vt:variant>
        <vt:lpstr>이름이 지정된 범위</vt:lpstr>
      </vt:variant>
      <vt:variant>
        <vt:i4>22</vt:i4>
      </vt:variant>
    </vt:vector>
  </HeadingPairs>
  <TitlesOfParts>
    <vt:vector size="45" baseType="lpstr">
      <vt:lpstr>참전(총괄)</vt:lpstr>
      <vt:lpstr>고엽제후유(의)증 현황(총괄)</vt:lpstr>
      <vt:lpstr>서울특별시</vt:lpstr>
      <vt:lpstr>부산광역시</vt:lpstr>
      <vt:lpstr>대구광역시</vt:lpstr>
      <vt:lpstr>인천광역시</vt:lpstr>
      <vt:lpstr>광주광역시</vt:lpstr>
      <vt:lpstr>대전광역시</vt:lpstr>
      <vt:lpstr>울산광역시</vt:lpstr>
      <vt:lpstr>세종특별자치시</vt:lpstr>
      <vt:lpstr>경기도</vt:lpstr>
      <vt:lpstr>강원도</vt:lpstr>
      <vt:lpstr>충청북도</vt:lpstr>
      <vt:lpstr>충청남도</vt:lpstr>
      <vt:lpstr>전라북도</vt:lpstr>
      <vt:lpstr>전라남도</vt:lpstr>
      <vt:lpstr>경상북도</vt:lpstr>
      <vt:lpstr>경상남도</vt:lpstr>
      <vt:lpstr>제주특별자치도</vt:lpstr>
      <vt:lpstr>해외거주</vt:lpstr>
      <vt:lpstr>주소불명</vt:lpstr>
      <vt:lpstr>해당없음</vt:lpstr>
      <vt:lpstr>고엽-세로</vt:lpstr>
      <vt:lpstr>강원도!Print_Area</vt:lpstr>
      <vt:lpstr>경기도!Print_Area</vt:lpstr>
      <vt:lpstr>경상남도!Print_Area</vt:lpstr>
      <vt:lpstr>경상북도!Print_Area</vt:lpstr>
      <vt:lpstr>'고엽-세로'!Print_Area</vt:lpstr>
      <vt:lpstr>광주광역시!Print_Area</vt:lpstr>
      <vt:lpstr>대구광역시!Print_Area</vt:lpstr>
      <vt:lpstr>대전광역시!Print_Area</vt:lpstr>
      <vt:lpstr>부산광역시!Print_Area</vt:lpstr>
      <vt:lpstr>서울특별시!Print_Area</vt:lpstr>
      <vt:lpstr>세종특별자치시!Print_Area</vt:lpstr>
      <vt:lpstr>울산광역시!Print_Area</vt:lpstr>
      <vt:lpstr>인천광역시!Print_Area</vt:lpstr>
      <vt:lpstr>전라남도!Print_Area</vt:lpstr>
      <vt:lpstr>전라북도!Print_Area</vt:lpstr>
      <vt:lpstr>제주특별자치도!Print_Area</vt:lpstr>
      <vt:lpstr>주소불명!Print_Area</vt:lpstr>
      <vt:lpstr>'참전(총괄)'!Print_Area</vt:lpstr>
      <vt:lpstr>충청남도!Print_Area</vt:lpstr>
      <vt:lpstr>충청북도!Print_Area</vt:lpstr>
      <vt:lpstr>해당없음!Print_Area</vt:lpstr>
      <vt:lpstr>해외거주!Print_Area</vt:lpstr>
    </vt:vector>
  </TitlesOfParts>
  <Company>JOO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INIT-PC</cp:lastModifiedBy>
  <cp:lastPrinted>2023-09-05T07:18:47Z</cp:lastPrinted>
  <dcterms:created xsi:type="dcterms:W3CDTF">2013-12-05T06:35:42Z</dcterms:created>
  <dcterms:modified xsi:type="dcterms:W3CDTF">2026-06-02T01:29:25Z</dcterms:modified>
</cp:coreProperties>
</file>